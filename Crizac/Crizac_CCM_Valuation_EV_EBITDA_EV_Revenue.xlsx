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VMJX4K9lQR1rVjx0uUJAQLZFd7Ea6Y2m\YouWe Quest Server - New\2. Capital Market\Equity Research\Crizac\Output\Valuation\"/>
    </mc:Choice>
  </mc:AlternateContent>
  <xr:revisionPtr revIDLastSave="0" documentId="13_ncr:1_{C8E0CA55-F85E-4C84-8948-FA354DB5912A}" xr6:coauthVersionLast="47" xr6:coauthVersionMax="47" xr10:uidLastSave="{00000000-0000-0000-0000-000000000000}"/>
  <bookViews>
    <workbookView xWindow="-110" yWindow="-110" windowWidth="19420" windowHeight="10300" activeTab="3" xr2:uid="{DB2828DF-F403-471F-AE20-24259345EC69}"/>
  </bookViews>
  <sheets>
    <sheet name="Cover" sheetId="1" r:id="rId1"/>
    <sheet name="Inputs" sheetId="2" r:id="rId2"/>
    <sheet name="Valuation" sheetId="4" r:id="rId3"/>
    <sheet name="Comps" sheetId="3" r:id="rId4"/>
    <sheet name="Sensitivity" sheetId="5" r:id="rId5"/>
    <sheet name="Checks" sheetId="6" r:id="rId6"/>
    <sheet name="Sources" sheetId="7" r:id="rId7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6" l="1"/>
  <c r="C6" i="6"/>
  <c r="E10" i="5"/>
  <c r="E9" i="5"/>
  <c r="E8" i="5"/>
  <c r="E7" i="5"/>
  <c r="E6" i="5"/>
  <c r="B10" i="5"/>
  <c r="B9" i="5"/>
  <c r="B8" i="5"/>
  <c r="B7" i="5"/>
  <c r="B6" i="5"/>
  <c r="C19" i="4"/>
  <c r="C18" i="4"/>
  <c r="C20" i="4" s="1"/>
  <c r="F12" i="4"/>
  <c r="D12" i="4"/>
  <c r="I11" i="4"/>
  <c r="F11" i="4"/>
  <c r="D11" i="4"/>
  <c r="F7" i="4"/>
  <c r="D7" i="4"/>
  <c r="I6" i="4"/>
  <c r="F6" i="4"/>
  <c r="D6" i="4"/>
  <c r="H9" i="3"/>
  <c r="H8" i="3"/>
  <c r="H7" i="3"/>
  <c r="J6" i="3"/>
  <c r="H6" i="3"/>
  <c r="B23" i="2"/>
  <c r="B17" i="2"/>
  <c r="B12" i="1"/>
  <c r="B7" i="1"/>
  <c r="F8" i="6" l="1"/>
  <c r="D8" i="6"/>
  <c r="L9" i="3"/>
  <c r="K9" i="3"/>
  <c r="L8" i="3"/>
  <c r="K8" i="3"/>
  <c r="L7" i="3"/>
  <c r="K7" i="3"/>
  <c r="L6" i="3"/>
  <c r="K6" i="3"/>
  <c r="B5" i="6"/>
  <c r="D5" i="6" s="1"/>
  <c r="F5" i="6" s="1"/>
  <c r="I7" i="4"/>
  <c r="I12" i="4"/>
  <c r="B6" i="6"/>
  <c r="D6" i="6" s="1"/>
  <c r="F6" i="6" s="1"/>
  <c r="B19" i="2"/>
  <c r="B9" i="1" s="1"/>
  <c r="B18" i="2"/>
  <c r="B8" i="1" s="1"/>
  <c r="L14" i="3" l="1"/>
  <c r="C12" i="4" s="1"/>
  <c r="E12" i="4" s="1"/>
  <c r="G12" i="4" s="1"/>
  <c r="H12" i="4" s="1"/>
  <c r="L13" i="3"/>
  <c r="C7" i="4" s="1"/>
  <c r="E7" i="4" s="1"/>
  <c r="G7" i="4" s="1"/>
  <c r="H7" i="4" s="1"/>
  <c r="K14" i="3"/>
  <c r="C11" i="4" s="1"/>
  <c r="E11" i="4" s="1"/>
  <c r="G11" i="4" s="1"/>
  <c r="H11" i="4" s="1"/>
  <c r="K13" i="3"/>
  <c r="C6" i="4" s="1"/>
  <c r="E6" i="4" s="1"/>
  <c r="G6" i="4" s="1"/>
  <c r="H6" i="4" s="1"/>
  <c r="H9" i="4" l="1"/>
  <c r="H14" i="4"/>
  <c r="B10" i="1" l="1"/>
  <c r="C7" i="6"/>
  <c r="B11" i="1"/>
  <c r="B7" i="6"/>
  <c r="D7" i="6" l="1"/>
  <c r="F7" i="6"/>
  <c r="F11" i="6" s="1"/>
  <c r="B13" i="1" s="1"/>
</calcChain>
</file>

<file path=xl/sharedStrings.xml><?xml version="1.0" encoding="utf-8"?>
<sst xmlns="http://schemas.openxmlformats.org/spreadsheetml/2006/main" count="140" uniqueCount="124">
  <si>
    <t>Crizac Limited - CCM Valuation Workbook</t>
  </si>
  <si>
    <t>Comparable Company Method using EV/Revenue and EV/EBITDA</t>
  </si>
  <si>
    <t>Workbook purpose</t>
  </si>
  <si>
    <t>Formula-driven valuation add-on for the Crizac research pack. All figures are in Rs crore unless stated otherwise.</t>
  </si>
  <si>
    <t>Key Outputs</t>
  </si>
  <si>
    <t>Color legend</t>
  </si>
  <si>
    <t>Blue font</t>
  </si>
  <si>
    <t>Editable assumptions / inputs</t>
  </si>
  <si>
    <t>Black font</t>
  </si>
  <si>
    <t>Formulas and calculations</t>
  </si>
  <si>
    <t>Green font</t>
  </si>
  <si>
    <t>Linked references to other sheets</t>
  </si>
  <si>
    <t>Inputs and Core Assumptions</t>
  </si>
  <si>
    <t>Editable source inputs for the CCM valuation</t>
  </si>
  <si>
    <t>Crizac market data</t>
  </si>
  <si>
    <t>Financial unit</t>
  </si>
  <si>
    <t>Rs crore</t>
  </si>
  <si>
    <t>Text</t>
  </si>
  <si>
    <t>Valuation date</t>
  </si>
  <si>
    <t>Market data source date</t>
  </si>
  <si>
    <t>03 July close for Crizac; 06 July for comps where available</t>
  </si>
  <si>
    <t>Current price used (Rs/share)</t>
  </si>
  <si>
    <t>Per share</t>
  </si>
  <si>
    <t>Market capitalisation</t>
  </si>
  <si>
    <t>Currency</t>
  </si>
  <si>
    <t>Shares outstanding</t>
  </si>
  <si>
    <t>Count</t>
  </si>
  <si>
    <t>FY26 revenue</t>
  </si>
  <si>
    <t>FY26 EBITDA</t>
  </si>
  <si>
    <t>Cash and cash equivalents</t>
  </si>
  <si>
    <t>Borrowings</t>
  </si>
  <si>
    <t>Derived Crizac trading multiples</t>
  </si>
  <si>
    <t>Enterprise value</t>
  </si>
  <si>
    <t>Current EV/Revenue</t>
  </si>
  <si>
    <t>Current EV/EBITDA</t>
  </si>
  <si>
    <t>Valuation settings</t>
  </si>
  <si>
    <t>EV/Revenue weighting</t>
  </si>
  <si>
    <t>EV/EBITDA weighting</t>
  </si>
  <si>
    <t>Selected low value/share</t>
  </si>
  <si>
    <t>Selected high value/share</t>
  </si>
  <si>
    <t>Comparable Company Multiples</t>
  </si>
  <si>
    <t>EV/Revenue and EV/EBITDA proxy peer set</t>
  </si>
  <si>
    <t>Company</t>
  </si>
  <si>
    <t>Market Data Date</t>
  </si>
  <si>
    <t>Market Cap</t>
  </si>
  <si>
    <t>Debt/Borrowings</t>
  </si>
  <si>
    <t>Cash/Investments</t>
  </si>
  <si>
    <t>Enterprise Value</t>
  </si>
  <si>
    <t>Revenue</t>
  </si>
  <si>
    <t>EBITDA</t>
  </si>
  <si>
    <t>EV/Revenue</t>
  </si>
  <si>
    <t>EV/EBITDA</t>
  </si>
  <si>
    <t>Included?</t>
  </si>
  <si>
    <t>IDP Education</t>
  </si>
  <si>
    <t>A</t>
  </si>
  <si>
    <t>Yes</t>
  </si>
  <si>
    <t>IndiaMART</t>
  </si>
  <si>
    <t>Rs cr</t>
  </si>
  <si>
    <t>Info Edge</t>
  </si>
  <si>
    <t>Just Dial</t>
  </si>
  <si>
    <t>Reviewed</t>
  </si>
  <si>
    <t>No - outlier</t>
  </si>
  <si>
    <t>Summary multiples</t>
  </si>
  <si>
    <t>Included peer mean</t>
  </si>
  <si>
    <t>Included peer median</t>
  </si>
  <si>
    <t>Notes</t>
  </si>
  <si>
    <t>IDP is the closest global student-placement peer but includes testing and teaching exposure. IndiaMART and Info Edge are Indian platform proxies. Just Dial was reviewed but excluded because its EV is distorted by cash/investments and visible annuals are stale.</t>
  </si>
  <si>
    <t>CCM Valuation Bridge</t>
  </si>
  <si>
    <t>Peer mean and median multiple outputs</t>
  </si>
  <si>
    <t>Method</t>
  </si>
  <si>
    <t>Applied Multiple</t>
  </si>
  <si>
    <t>Crizac Metric</t>
  </si>
  <si>
    <t>Implied EV</t>
  </si>
  <si>
    <t>Net Cash</t>
  </si>
  <si>
    <t>Equity Value</t>
  </si>
  <si>
    <t>Value/Share</t>
  </si>
  <si>
    <t>Weighting</t>
  </si>
  <si>
    <t>EV/Revenue - peer mean</t>
  </si>
  <si>
    <t>EV/EBITDA - peer mean</t>
  </si>
  <si>
    <t>Mean multiple result</t>
  </si>
  <si>
    <t>EV/Revenue - peer median</t>
  </si>
  <si>
    <t>EV/EBITDA - peer median</t>
  </si>
  <si>
    <t>Median multiple result</t>
  </si>
  <si>
    <t>Selected CCM valuation range</t>
  </si>
  <si>
    <t>Low</t>
  </si>
  <si>
    <t>High</t>
  </si>
  <si>
    <t>Current price discount / premium to midpoint</t>
  </si>
  <si>
    <t>Sensitivity Tables</t>
  </si>
  <si>
    <t>EV/Revenue and EV/EBITDA valuation sensitivities</t>
  </si>
  <si>
    <t>EV/Revenue Sensitivity</t>
  </si>
  <si>
    <t>EV/EBITDA Sensitivity</t>
  </si>
  <si>
    <t>Interpretation</t>
  </si>
  <si>
    <t>The selected CCM range uses blended peer mean and median outputs with 60% weight to EV/EBITDA and 40% weight to EV/Revenue. EV/EBITDA receives higher weight because Crizac is already profitable and margin quality is central to valuation.</t>
  </si>
  <si>
    <t>Model Checks</t>
  </si>
  <si>
    <t>Formula and valuation sanity checks</t>
  </si>
  <si>
    <t>Check</t>
  </si>
  <si>
    <t>Actual</t>
  </si>
  <si>
    <t>Expected</t>
  </si>
  <si>
    <t>Difference</t>
  </si>
  <si>
    <t>Tolerance</t>
  </si>
  <si>
    <t>Status</t>
  </si>
  <si>
    <t>Weighting sums to 100%</t>
  </si>
  <si>
    <t>Enterprise value bridge ties</t>
  </si>
  <si>
    <t>Median valuation above mean</t>
  </si>
  <si>
    <t>Revenue and EBITDA positive</t>
  </si>
  <si>
    <t>Overall model status</t>
  </si>
  <si>
    <t>Sources and Audit Trail</t>
  </si>
  <si>
    <t>Source URLs and notes for CCM valuation inputs</t>
  </si>
  <si>
    <t>Item</t>
  </si>
  <si>
    <t>Value / figure</t>
  </si>
  <si>
    <t>Units</t>
  </si>
  <si>
    <t>Period / date</t>
  </si>
  <si>
    <t>Source</t>
  </si>
  <si>
    <t>URL / file</t>
  </si>
  <si>
    <t>Crizac current price</t>
  </si>
  <si>
    <t>Crizac market cap</t>
  </si>
  <si>
    <t>Crizac FY26 revenue</t>
  </si>
  <si>
    <t>Crizac FY26 EBITDA</t>
  </si>
  <si>
    <t>Crizac cash / borrowings</t>
  </si>
  <si>
    <t>IDP share price</t>
  </si>
  <si>
    <t>IDP FY25 financials</t>
  </si>
  <si>
    <t>IndiaMART peer data</t>
  </si>
  <si>
    <t>Info Edge peer data</t>
  </si>
  <si>
    <t>Just Dial 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</si>
</sst>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\x;[Red]\(0.0\x\);\-"/>
    <numFmt numFmtId="165" formatCode="0.0%;[Red]\(0.0%\);\-"/>
    <numFmt numFmtId="166" formatCode="#,##0.0;[Red]\(#,##0.0\);\-"/>
    <numFmt numFmtId="167" formatCode="#,##0.0"/>
    <numFmt numFmtId="168" formatCode="#,##0.00;[Red]\(#,##0.00\);\-"/>
  </numFmts>
  <fonts count="7" x14ac:knownFonts="1">
    <font>
      <sz val="9"/>
      <color theme="1"/>
      <name val="Calibri"/>
      <family val="2"/>
    </font>
    <font>
      <sz val="10"/>
      <color theme="1"/>
      <name val="Arial"/>
      <family val="2"/>
    </font>
    <font>
      <b/>
      <sz val="16"/>
      <color rgb="FFFFFFFF"/>
      <name val="Arial"/>
      <family val="2"/>
    </font>
    <font>
      <i/>
      <sz val="10"/>
      <color rgb="FF5F6B7A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7375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15" fontId="6" fillId="3" borderId="1" xfId="0" applyNumberFormat="1" applyFont="1" applyFill="1" applyBorder="1" applyAlignment="1">
      <alignment vertical="center"/>
    </xf>
    <xf numFmtId="4" fontId="6" fillId="3" borderId="1" xfId="0" applyNumberFormat="1" applyFont="1" applyFill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5" fontId="1" fillId="0" borderId="1" xfId="0" applyNumberFormat="1" applyFont="1" applyBorder="1" applyAlignment="1">
      <alignment vertical="center"/>
    </xf>
    <xf numFmtId="166" fontId="1" fillId="0" borderId="1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7" fontId="1" fillId="0" borderId="1" xfId="0" applyNumberFormat="1" applyFont="1" applyBorder="1" applyAlignment="1">
      <alignment vertical="center"/>
    </xf>
    <xf numFmtId="168" fontId="1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3E0F-39EF-4D8E-B6C7-B0BFE22B25D7}">
  <dimension ref="A1:H19"/>
  <sheetViews>
    <sheetView workbookViewId="0">
      <pane ySplit="4" topLeftCell="A5" activePane="bottomLeft" state="frozenSplit"/>
      <selection pane="bottomLeft" sqref="A1:H1"/>
    </sheetView>
  </sheetViews>
  <sheetFormatPr defaultRowHeight="12.5" x14ac:dyDescent="0.25"/>
  <cols>
    <col min="1" max="1" width="30.77734375" style="1" customWidth="1"/>
    <col min="2" max="7" width="18.77734375" style="1" customWidth="1"/>
    <col min="8" max="8" width="32.77734375" style="1" customWidth="1"/>
    <col min="9" max="16384" width="8.88671875" style="1"/>
  </cols>
  <sheetData>
    <row r="1" spans="1:8" x14ac:dyDescent="0.25">
      <c r="A1" s="21" t="s">
        <v>0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</v>
      </c>
      <c r="B2" s="24"/>
      <c r="C2" s="24"/>
      <c r="D2" s="24"/>
      <c r="E2" s="24"/>
      <c r="F2" s="24"/>
      <c r="G2" s="24"/>
      <c r="H2" s="24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3" x14ac:dyDescent="0.25">
      <c r="A4" s="3" t="s">
        <v>2</v>
      </c>
      <c r="B4" s="25" t="s">
        <v>3</v>
      </c>
      <c r="C4" s="25"/>
      <c r="D4" s="25"/>
      <c r="E4" s="25"/>
      <c r="F4" s="25"/>
      <c r="G4" s="25"/>
      <c r="H4" s="25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ht="13" x14ac:dyDescent="0.25">
      <c r="A6" s="3" t="s">
        <v>4</v>
      </c>
      <c r="B6" s="2"/>
      <c r="C6" s="2"/>
      <c r="D6" s="2"/>
      <c r="E6" s="2"/>
      <c r="F6" s="2"/>
      <c r="G6" s="2"/>
      <c r="H6" s="2"/>
    </row>
    <row r="7" spans="1:8" x14ac:dyDescent="0.25">
      <c r="A7" s="2"/>
      <c r="B7" s="4">
        <f>Inputs!B8</f>
        <v>199</v>
      </c>
      <c r="C7" s="2"/>
      <c r="D7" s="2"/>
      <c r="E7" s="2"/>
      <c r="F7" s="2"/>
      <c r="G7" s="2"/>
      <c r="H7" s="2"/>
    </row>
    <row r="8" spans="1:8" x14ac:dyDescent="0.25">
      <c r="A8" s="2"/>
      <c r="B8" s="5">
        <f>Inputs!B18</f>
        <v>3.2118004912873261</v>
      </c>
      <c r="C8" s="2"/>
      <c r="D8" s="2"/>
      <c r="E8" s="2"/>
      <c r="F8" s="2"/>
      <c r="G8" s="2"/>
      <c r="H8" s="2"/>
    </row>
    <row r="9" spans="1:8" x14ac:dyDescent="0.25">
      <c r="A9" s="2"/>
      <c r="B9" s="5">
        <f>Inputs!B19</f>
        <v>11.852726628895185</v>
      </c>
      <c r="C9" s="2"/>
      <c r="D9" s="2"/>
      <c r="E9" s="2"/>
      <c r="F9" s="2"/>
      <c r="G9" s="2"/>
      <c r="H9" s="2"/>
    </row>
    <row r="10" spans="1:8" x14ac:dyDescent="0.25">
      <c r="A10" s="2"/>
      <c r="B10" s="4">
        <f>Valuation!H9</f>
        <v>247.9816145957162</v>
      </c>
      <c r="C10" s="2"/>
      <c r="D10" s="2"/>
      <c r="E10" s="2"/>
      <c r="F10" s="2"/>
      <c r="G10" s="2"/>
      <c r="H10" s="2"/>
    </row>
    <row r="11" spans="1:8" x14ac:dyDescent="0.25">
      <c r="A11" s="2"/>
      <c r="B11" s="4">
        <f>Valuation!H14</f>
        <v>277.66155918821909</v>
      </c>
      <c r="C11" s="2"/>
      <c r="D11" s="2"/>
      <c r="E11" s="2"/>
      <c r="F11" s="2"/>
      <c r="G11" s="2"/>
      <c r="H11" s="2"/>
    </row>
    <row r="12" spans="1:8" x14ac:dyDescent="0.25">
      <c r="A12" s="2"/>
      <c r="B12" s="6" t="str">
        <f>ROUND(Inputs!B24,0)&amp;" - "&amp;ROUND(Inputs!B25,0)&amp;" per share"</f>
        <v>245 - 280 per share</v>
      </c>
      <c r="C12" s="2"/>
      <c r="D12" s="2"/>
      <c r="E12" s="2"/>
      <c r="F12" s="2"/>
      <c r="G12" s="2"/>
      <c r="H12" s="2"/>
    </row>
    <row r="13" spans="1:8" x14ac:dyDescent="0.25">
      <c r="A13" s="2"/>
      <c r="B13" s="6" t="str">
        <f>Checks!F11</f>
        <v>OK</v>
      </c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ht="13" x14ac:dyDescent="0.25">
      <c r="A16" s="3" t="s">
        <v>5</v>
      </c>
      <c r="B16" s="2"/>
      <c r="C16" s="2"/>
      <c r="D16" s="2"/>
      <c r="E16" s="2"/>
      <c r="F16" s="2"/>
      <c r="G16" s="2"/>
      <c r="H16" s="2"/>
    </row>
    <row r="17" spans="1:8" x14ac:dyDescent="0.25">
      <c r="A17" s="7" t="s">
        <v>6</v>
      </c>
      <c r="B17" s="2" t="s">
        <v>7</v>
      </c>
      <c r="C17" s="2"/>
      <c r="D17" s="2"/>
      <c r="E17" s="2"/>
      <c r="F17" s="2"/>
      <c r="G17" s="2"/>
      <c r="H17" s="2"/>
    </row>
    <row r="18" spans="1:8" x14ac:dyDescent="0.25">
      <c r="A18" s="2" t="s">
        <v>8</v>
      </c>
      <c r="B18" s="2" t="s">
        <v>9</v>
      </c>
      <c r="C18" s="2"/>
      <c r="D18" s="2"/>
      <c r="E18" s="2"/>
      <c r="F18" s="2"/>
      <c r="G18" s="2"/>
      <c r="H18" s="2"/>
    </row>
    <row r="19" spans="1:8" x14ac:dyDescent="0.25">
      <c r="A19" s="6" t="s">
        <v>10</v>
      </c>
      <c r="B19" s="2" t="s">
        <v>11</v>
      </c>
      <c r="C19" s="2"/>
      <c r="D19" s="2"/>
      <c r="E19" s="2"/>
      <c r="F19" s="2"/>
      <c r="G19" s="2"/>
      <c r="H19" s="2"/>
    </row>
  </sheetData>
  <mergeCells count="3">
    <mergeCell ref="A1:H1"/>
    <mergeCell ref="A2:H2"/>
    <mergeCell ref="B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718B-0635-4346-87E5-5D1A6EAF3076}">
  <dimension ref="A1:H25"/>
  <sheetViews>
    <sheetView workbookViewId="0">
      <pane ySplit="4" topLeftCell="A5" activePane="bottomLeft" state="frozenSplit"/>
      <selection pane="bottomLeft" activeCell="A8" sqref="A1:H1048576"/>
    </sheetView>
  </sheetViews>
  <sheetFormatPr defaultRowHeight="12.5" x14ac:dyDescent="0.25"/>
  <cols>
    <col min="1" max="1" width="30.77734375" style="1" customWidth="1"/>
    <col min="2" max="7" width="18.77734375" style="1" customWidth="1"/>
    <col min="8" max="8" width="32.77734375" style="1" customWidth="1"/>
    <col min="9" max="16384" width="8.88671875" style="1"/>
  </cols>
  <sheetData>
    <row r="1" spans="1:8" x14ac:dyDescent="0.25">
      <c r="A1" s="21" t="s">
        <v>12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13</v>
      </c>
      <c r="B2" s="24"/>
      <c r="C2" s="24"/>
      <c r="D2" s="24"/>
      <c r="E2" s="24"/>
      <c r="F2" s="24"/>
      <c r="G2" s="24"/>
      <c r="H2" s="24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3" x14ac:dyDescent="0.25">
      <c r="A4" s="3" t="s">
        <v>14</v>
      </c>
      <c r="B4" s="2"/>
      <c r="C4" s="2"/>
      <c r="D4" s="2"/>
      <c r="E4" s="2"/>
      <c r="F4" s="2"/>
      <c r="G4" s="2"/>
      <c r="H4" s="2"/>
    </row>
    <row r="5" spans="1:8" x14ac:dyDescent="0.25">
      <c r="A5" s="2" t="s">
        <v>15</v>
      </c>
      <c r="B5" s="9" t="s">
        <v>16</v>
      </c>
      <c r="C5" s="2" t="s">
        <v>17</v>
      </c>
      <c r="D5" s="2"/>
      <c r="E5" s="2"/>
      <c r="F5" s="2"/>
      <c r="G5" s="2"/>
      <c r="H5" s="2"/>
    </row>
    <row r="6" spans="1:8" x14ac:dyDescent="0.25">
      <c r="A6" s="2" t="s">
        <v>18</v>
      </c>
      <c r="B6" s="10">
        <v>46209</v>
      </c>
      <c r="C6" s="2" t="s">
        <v>17</v>
      </c>
      <c r="D6" s="2"/>
      <c r="E6" s="2"/>
      <c r="F6" s="2"/>
      <c r="G6" s="2"/>
      <c r="H6" s="2"/>
    </row>
    <row r="7" spans="1:8" x14ac:dyDescent="0.25">
      <c r="A7" s="2" t="s">
        <v>19</v>
      </c>
      <c r="B7" s="9" t="s">
        <v>20</v>
      </c>
      <c r="C7" s="2" t="s">
        <v>17</v>
      </c>
      <c r="D7" s="2"/>
      <c r="E7" s="2"/>
      <c r="F7" s="2"/>
      <c r="G7" s="2"/>
      <c r="H7" s="2"/>
    </row>
    <row r="8" spans="1:8" x14ac:dyDescent="0.25">
      <c r="A8" s="2" t="s">
        <v>21</v>
      </c>
      <c r="B8" s="11">
        <v>199</v>
      </c>
      <c r="C8" s="2" t="s">
        <v>22</v>
      </c>
      <c r="D8" s="2"/>
      <c r="E8" s="2"/>
      <c r="F8" s="2"/>
      <c r="G8" s="2"/>
      <c r="H8" s="2"/>
    </row>
    <row r="9" spans="1:8" x14ac:dyDescent="0.25">
      <c r="A9" s="2" t="s">
        <v>23</v>
      </c>
      <c r="B9" s="11">
        <v>3481</v>
      </c>
      <c r="C9" s="2" t="s">
        <v>24</v>
      </c>
      <c r="D9" s="2"/>
      <c r="E9" s="2"/>
      <c r="F9" s="2"/>
      <c r="G9" s="2"/>
      <c r="H9" s="2"/>
    </row>
    <row r="10" spans="1:8" x14ac:dyDescent="0.25">
      <c r="A10" s="2" t="s">
        <v>25</v>
      </c>
      <c r="B10" s="11">
        <v>17.5</v>
      </c>
      <c r="C10" s="2" t="s">
        <v>26</v>
      </c>
      <c r="D10" s="2"/>
      <c r="E10" s="2"/>
      <c r="F10" s="2"/>
      <c r="G10" s="2"/>
      <c r="H10" s="2"/>
    </row>
    <row r="11" spans="1:8" x14ac:dyDescent="0.25">
      <c r="A11" s="2" t="s">
        <v>27</v>
      </c>
      <c r="B11" s="11">
        <v>1042.1600000000001</v>
      </c>
      <c r="C11" s="2" t="s">
        <v>24</v>
      </c>
      <c r="D11" s="2"/>
      <c r="E11" s="2"/>
      <c r="F11" s="2"/>
      <c r="G11" s="2"/>
      <c r="H11" s="2"/>
    </row>
    <row r="12" spans="1:8" x14ac:dyDescent="0.25">
      <c r="A12" s="2" t="s">
        <v>28</v>
      </c>
      <c r="B12" s="11">
        <v>282.39999999999998</v>
      </c>
      <c r="C12" s="2" t="s">
        <v>24</v>
      </c>
      <c r="D12" s="2"/>
      <c r="E12" s="2"/>
      <c r="F12" s="2"/>
      <c r="G12" s="2"/>
      <c r="H12" s="2"/>
    </row>
    <row r="13" spans="1:8" x14ac:dyDescent="0.25">
      <c r="A13" s="2" t="s">
        <v>29</v>
      </c>
      <c r="B13" s="11">
        <v>135.54</v>
      </c>
      <c r="C13" s="2" t="s">
        <v>24</v>
      </c>
      <c r="D13" s="2"/>
      <c r="E13" s="2"/>
      <c r="F13" s="2"/>
      <c r="G13" s="2"/>
      <c r="H13" s="2"/>
    </row>
    <row r="14" spans="1:8" x14ac:dyDescent="0.25">
      <c r="A14" s="2" t="s">
        <v>30</v>
      </c>
      <c r="B14" s="11">
        <v>1.75</v>
      </c>
      <c r="C14" s="2" t="s">
        <v>24</v>
      </c>
      <c r="D14" s="2"/>
      <c r="E14" s="2"/>
      <c r="F14" s="2"/>
      <c r="G14" s="2"/>
      <c r="H14" s="2"/>
    </row>
    <row r="15" spans="1:8" x14ac:dyDescent="0.25">
      <c r="A15" s="2"/>
      <c r="B15" s="12"/>
      <c r="C15" s="2"/>
      <c r="D15" s="2"/>
      <c r="E15" s="2"/>
      <c r="F15" s="2"/>
      <c r="G15" s="2"/>
      <c r="H15" s="2"/>
    </row>
    <row r="16" spans="1:8" ht="13" x14ac:dyDescent="0.25">
      <c r="A16" s="3" t="s">
        <v>31</v>
      </c>
      <c r="B16" s="2"/>
      <c r="C16" s="2"/>
      <c r="D16" s="2"/>
      <c r="E16" s="2"/>
      <c r="F16" s="2"/>
      <c r="G16" s="2"/>
      <c r="H16" s="2"/>
    </row>
    <row r="17" spans="1:8" x14ac:dyDescent="0.25">
      <c r="A17" s="2" t="s">
        <v>32</v>
      </c>
      <c r="B17" s="12">
        <f>B9+B14-B13</f>
        <v>3347.21</v>
      </c>
      <c r="C17" s="2"/>
      <c r="D17" s="2"/>
      <c r="E17" s="2"/>
      <c r="F17" s="2"/>
      <c r="G17" s="2"/>
      <c r="H17" s="2"/>
    </row>
    <row r="18" spans="1:8" x14ac:dyDescent="0.25">
      <c r="A18" s="2" t="s">
        <v>33</v>
      </c>
      <c r="B18" s="13">
        <f>B17/B11</f>
        <v>3.2118004912873261</v>
      </c>
      <c r="C18" s="2"/>
      <c r="D18" s="2"/>
      <c r="E18" s="2"/>
      <c r="F18" s="2"/>
      <c r="G18" s="2"/>
      <c r="H18" s="2"/>
    </row>
    <row r="19" spans="1:8" x14ac:dyDescent="0.25">
      <c r="A19" s="2" t="s">
        <v>34</v>
      </c>
      <c r="B19" s="13">
        <f>B17/B12</f>
        <v>11.852726628895185</v>
      </c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ht="13" x14ac:dyDescent="0.25">
      <c r="A21" s="3" t="s">
        <v>35</v>
      </c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36</v>
      </c>
      <c r="B22" s="14">
        <v>0.4</v>
      </c>
      <c r="C22" s="2"/>
      <c r="D22" s="2"/>
      <c r="E22" s="2"/>
      <c r="F22" s="2"/>
      <c r="G22" s="2"/>
      <c r="H22" s="2"/>
    </row>
    <row r="23" spans="1:8" x14ac:dyDescent="0.25">
      <c r="A23" s="2" t="s">
        <v>37</v>
      </c>
      <c r="B23" s="15">
        <f>1-B22</f>
        <v>0.6</v>
      </c>
      <c r="C23" s="2"/>
      <c r="D23" s="2"/>
      <c r="E23" s="2"/>
      <c r="F23" s="2"/>
      <c r="G23" s="2"/>
      <c r="H23" s="2"/>
    </row>
    <row r="24" spans="1:8" x14ac:dyDescent="0.25">
      <c r="A24" s="2" t="s">
        <v>38</v>
      </c>
      <c r="B24" s="11">
        <v>245</v>
      </c>
      <c r="C24" s="2"/>
      <c r="D24" s="2"/>
      <c r="E24" s="2"/>
      <c r="F24" s="2"/>
      <c r="G24" s="2"/>
      <c r="H24" s="2"/>
    </row>
    <row r="25" spans="1:8" x14ac:dyDescent="0.25">
      <c r="A25" s="2" t="s">
        <v>39</v>
      </c>
      <c r="B25" s="11">
        <v>280</v>
      </c>
      <c r="C25" s="2"/>
      <c r="D25" s="2"/>
      <c r="E25" s="2"/>
      <c r="F25" s="2"/>
      <c r="G25" s="2"/>
      <c r="H25" s="2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8689-4F77-4F25-A6AD-3913C755A334}">
  <dimension ref="B2:I20"/>
  <sheetViews>
    <sheetView showGridLines="0" workbookViewId="0">
      <pane ySplit="5" topLeftCell="A6" activePane="bottomLeft" state="frozenSplit"/>
      <selection pane="bottomLeft" activeCell="B4" sqref="B4"/>
    </sheetView>
  </sheetViews>
  <sheetFormatPr defaultRowHeight="12.5" x14ac:dyDescent="0.25"/>
  <cols>
    <col min="1" max="1" width="8.88671875" style="1"/>
    <col min="2" max="2" width="33.109375" style="1" bestFit="1" customWidth="1"/>
    <col min="3" max="8" width="18.77734375" style="1" customWidth="1"/>
    <col min="9" max="9" width="32.77734375" style="1" customWidth="1"/>
    <col min="10" max="16384" width="8.88671875" style="1"/>
  </cols>
  <sheetData>
    <row r="2" spans="2:9" x14ac:dyDescent="0.25">
      <c r="B2" s="21" t="s">
        <v>67</v>
      </c>
      <c r="C2" s="22"/>
      <c r="D2" s="22"/>
      <c r="E2" s="22"/>
      <c r="F2" s="22"/>
      <c r="G2" s="22"/>
      <c r="H2" s="22"/>
      <c r="I2" s="22"/>
    </row>
    <row r="3" spans="2:9" x14ac:dyDescent="0.25">
      <c r="B3" s="23" t="s">
        <v>68</v>
      </c>
      <c r="C3" s="24"/>
      <c r="D3" s="24"/>
      <c r="E3" s="24"/>
      <c r="F3" s="24"/>
      <c r="G3" s="24"/>
      <c r="H3" s="24"/>
      <c r="I3" s="24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ht="13" x14ac:dyDescent="0.25">
      <c r="B5" s="18" t="s">
        <v>69</v>
      </c>
      <c r="C5" s="18" t="s">
        <v>70</v>
      </c>
      <c r="D5" s="18" t="s">
        <v>71</v>
      </c>
      <c r="E5" s="18" t="s">
        <v>72</v>
      </c>
      <c r="F5" s="18" t="s">
        <v>73</v>
      </c>
      <c r="G5" s="18" t="s">
        <v>74</v>
      </c>
      <c r="H5" s="18" t="s">
        <v>75</v>
      </c>
      <c r="I5" s="18" t="s">
        <v>76</v>
      </c>
    </row>
    <row r="6" spans="2:9" x14ac:dyDescent="0.25">
      <c r="B6" s="2" t="s">
        <v>77</v>
      </c>
      <c r="C6" s="13">
        <f>Comps!K13</f>
        <v>4.3941393786323948</v>
      </c>
      <c r="D6" s="19">
        <f>Inputs!B11</f>
        <v>1042.1600000000001</v>
      </c>
      <c r="E6" s="19">
        <f>C6*D6</f>
        <v>4579.3962948355365</v>
      </c>
      <c r="F6" s="19">
        <f>Inputs!B13-Inputs!B14</f>
        <v>133.79</v>
      </c>
      <c r="G6" s="19">
        <f>E6+F6</f>
        <v>4713.1862948355365</v>
      </c>
      <c r="H6" s="12">
        <f>G6/Inputs!B10</f>
        <v>269.32493113345924</v>
      </c>
      <c r="I6" s="15">
        <f>Inputs!B22</f>
        <v>0.4</v>
      </c>
    </row>
    <row r="7" spans="2:9" x14ac:dyDescent="0.25">
      <c r="B7" s="2" t="s">
        <v>78</v>
      </c>
      <c r="C7" s="13">
        <f>Comps!L13</f>
        <v>14.011624985191327</v>
      </c>
      <c r="D7" s="19">
        <f>Inputs!B12</f>
        <v>282.39999999999998</v>
      </c>
      <c r="E7" s="19">
        <f>C7*D7</f>
        <v>3956.8828958180306</v>
      </c>
      <c r="F7" s="19">
        <f>Inputs!B13-Inputs!B14</f>
        <v>133.79</v>
      </c>
      <c r="G7" s="19">
        <f>E7+F7</f>
        <v>4090.6728958180306</v>
      </c>
      <c r="H7" s="12">
        <f>G7/Inputs!B10</f>
        <v>233.75273690388747</v>
      </c>
      <c r="I7" s="15">
        <f>Inputs!B23</f>
        <v>0.6</v>
      </c>
    </row>
    <row r="8" spans="2:9" x14ac:dyDescent="0.25">
      <c r="B8" s="2"/>
      <c r="C8" s="13"/>
      <c r="D8" s="19"/>
      <c r="E8" s="19"/>
      <c r="F8" s="19"/>
      <c r="G8" s="19"/>
      <c r="H8" s="12"/>
      <c r="I8" s="15"/>
    </row>
    <row r="9" spans="2:9" x14ac:dyDescent="0.25">
      <c r="B9" s="2" t="s">
        <v>79</v>
      </c>
      <c r="C9" s="13"/>
      <c r="D9" s="19"/>
      <c r="E9" s="19"/>
      <c r="F9" s="19"/>
      <c r="G9" s="19"/>
      <c r="H9" s="12">
        <f>SUMPRODUCT(H6:H7,I6:I7)</f>
        <v>247.9816145957162</v>
      </c>
      <c r="I9" s="15"/>
    </row>
    <row r="10" spans="2:9" x14ac:dyDescent="0.25">
      <c r="B10" s="2"/>
      <c r="C10" s="13"/>
      <c r="D10" s="19"/>
      <c r="E10" s="19"/>
      <c r="F10" s="19"/>
      <c r="G10" s="19"/>
      <c r="H10" s="12"/>
      <c r="I10" s="15"/>
    </row>
    <row r="11" spans="2:9" x14ac:dyDescent="0.25">
      <c r="B11" s="2" t="s">
        <v>80</v>
      </c>
      <c r="C11" s="13">
        <f>Comps!K14</f>
        <v>4.8387507966857868</v>
      </c>
      <c r="D11" s="19">
        <f>Inputs!B11</f>
        <v>1042.1600000000001</v>
      </c>
      <c r="E11" s="19">
        <f>C11*D11</f>
        <v>5042.7525302740596</v>
      </c>
      <c r="F11" s="19">
        <f>Inputs!B13-Inputs!B14</f>
        <v>133.79</v>
      </c>
      <c r="G11" s="19">
        <f>E11+F11</f>
        <v>5176.5425302740596</v>
      </c>
      <c r="H11" s="12">
        <f>G11/Inputs!B10</f>
        <v>295.80243030137484</v>
      </c>
      <c r="I11" s="15">
        <f>Inputs!B22</f>
        <v>0.4</v>
      </c>
    </row>
    <row r="12" spans="2:9" x14ac:dyDescent="0.25">
      <c r="B12" s="2" t="s">
        <v>81</v>
      </c>
      <c r="C12" s="13">
        <f>Comps!L14</f>
        <v>15.983157894736841</v>
      </c>
      <c r="D12" s="19">
        <f>Inputs!B12</f>
        <v>282.39999999999998</v>
      </c>
      <c r="E12" s="19">
        <f>C12*D12</f>
        <v>4513.6437894736837</v>
      </c>
      <c r="F12" s="19">
        <f>Inputs!B13-Inputs!B14</f>
        <v>133.79</v>
      </c>
      <c r="G12" s="19">
        <f>E12+F12</f>
        <v>4647.4337894736836</v>
      </c>
      <c r="H12" s="12">
        <f>G12/Inputs!B10</f>
        <v>265.56764511278192</v>
      </c>
      <c r="I12" s="15">
        <f>Inputs!B23</f>
        <v>0.6</v>
      </c>
    </row>
    <row r="13" spans="2:9" x14ac:dyDescent="0.25">
      <c r="B13" s="2"/>
      <c r="C13" s="13"/>
      <c r="D13" s="19"/>
      <c r="E13" s="19"/>
      <c r="F13" s="19"/>
      <c r="G13" s="19"/>
      <c r="H13" s="12"/>
      <c r="I13" s="15"/>
    </row>
    <row r="14" spans="2:9" x14ac:dyDescent="0.25">
      <c r="B14" s="2" t="s">
        <v>82</v>
      </c>
      <c r="C14" s="13"/>
      <c r="D14" s="19"/>
      <c r="E14" s="19"/>
      <c r="F14" s="19"/>
      <c r="G14" s="19"/>
      <c r="H14" s="12">
        <f>SUMPRODUCT(H11:H12,I11:I12)</f>
        <v>277.66155918821909</v>
      </c>
      <c r="I14" s="15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2:9" ht="13" x14ac:dyDescent="0.25">
      <c r="B17" s="3" t="s">
        <v>83</v>
      </c>
      <c r="C17" s="2"/>
      <c r="D17" s="2"/>
      <c r="E17" s="2"/>
      <c r="F17" s="2"/>
      <c r="G17" s="2"/>
      <c r="H17" s="2"/>
      <c r="I17" s="2"/>
    </row>
    <row r="18" spans="2:9" x14ac:dyDescent="0.25">
      <c r="B18" s="2" t="s">
        <v>84</v>
      </c>
      <c r="C18" s="12">
        <f>Inputs!B24</f>
        <v>245</v>
      </c>
      <c r="D18" s="2"/>
      <c r="E18" s="2"/>
      <c r="F18" s="2"/>
      <c r="G18" s="2"/>
      <c r="H18" s="2"/>
      <c r="I18" s="2"/>
    </row>
    <row r="19" spans="2:9" x14ac:dyDescent="0.25">
      <c r="B19" s="2" t="s">
        <v>85</v>
      </c>
      <c r="C19" s="12">
        <f>Inputs!B25</f>
        <v>280</v>
      </c>
      <c r="D19" s="2"/>
      <c r="E19" s="2"/>
      <c r="F19" s="2"/>
      <c r="G19" s="2"/>
      <c r="H19" s="2"/>
      <c r="I19" s="2"/>
    </row>
    <row r="20" spans="2:9" x14ac:dyDescent="0.25">
      <c r="B20" s="2" t="s">
        <v>86</v>
      </c>
      <c r="C20" s="15">
        <f>Inputs!B8/AVERAGE(C18:C19)-1</f>
        <v>-0.24190476190476196</v>
      </c>
      <c r="D20" s="2"/>
      <c r="E20" s="2"/>
      <c r="F20" s="2"/>
      <c r="G20" s="2"/>
      <c r="H20" s="2"/>
      <c r="I20" s="2"/>
    </row>
  </sheetData>
  <mergeCells count="2">
    <mergeCell ref="B2:I2"/>
    <mergeCell ref="B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FE11-F207-4303-840F-D2285B9B52FD}">
  <dimension ref="B2:M20"/>
  <sheetViews>
    <sheetView showGridLines="0" tabSelected="1" topLeftCell="B1" workbookViewId="0">
      <pane ySplit="5" topLeftCell="A6" activePane="bottomLeft" state="frozenSplit"/>
      <selection pane="bottomLeft" activeCell="B6" sqref="B6"/>
    </sheetView>
  </sheetViews>
  <sheetFormatPr defaultRowHeight="12.5" x14ac:dyDescent="0.25"/>
  <cols>
    <col min="1" max="1" width="8.88671875" style="1"/>
    <col min="2" max="2" width="30.77734375" style="1" customWidth="1"/>
    <col min="3" max="8" width="18.77734375" style="1" customWidth="1"/>
    <col min="9" max="9" width="32.77734375" style="1" customWidth="1"/>
    <col min="10" max="16384" width="8.88671875" style="1"/>
  </cols>
  <sheetData>
    <row r="2" spans="2:13" x14ac:dyDescent="0.25">
      <c r="B2" s="21" t="s">
        <v>40</v>
      </c>
      <c r="C2" s="22"/>
      <c r="D2" s="22"/>
      <c r="E2" s="22"/>
      <c r="F2" s="22"/>
      <c r="G2" s="22"/>
      <c r="H2" s="22"/>
      <c r="I2" s="22"/>
      <c r="J2" s="2"/>
      <c r="K2" s="2"/>
      <c r="L2" s="2"/>
      <c r="M2" s="2"/>
    </row>
    <row r="3" spans="2:13" x14ac:dyDescent="0.25">
      <c r="B3" s="23" t="s">
        <v>41</v>
      </c>
      <c r="C3" s="24"/>
      <c r="D3" s="24"/>
      <c r="E3" s="24"/>
      <c r="F3" s="24"/>
      <c r="G3" s="24"/>
      <c r="H3" s="24"/>
      <c r="I3" s="24"/>
      <c r="J3" s="2"/>
      <c r="K3" s="2"/>
      <c r="L3" s="2"/>
      <c r="M3" s="2"/>
    </row>
    <row r="4" spans="2:13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2:13" ht="13" x14ac:dyDescent="0.25">
      <c r="B5" s="18" t="s">
        <v>42</v>
      </c>
      <c r="C5" s="18" t="s">
        <v>24</v>
      </c>
      <c r="D5" s="18" t="s">
        <v>43</v>
      </c>
      <c r="E5" s="18" t="s">
        <v>44</v>
      </c>
      <c r="F5" s="18" t="s">
        <v>45</v>
      </c>
      <c r="G5" s="18" t="s">
        <v>46</v>
      </c>
      <c r="H5" s="18" t="s">
        <v>47</v>
      </c>
      <c r="I5" s="18" t="s">
        <v>48</v>
      </c>
      <c r="J5" s="18" t="s">
        <v>49</v>
      </c>
      <c r="K5" s="18" t="s">
        <v>50</v>
      </c>
      <c r="L5" s="18" t="s">
        <v>51</v>
      </c>
      <c r="M5" s="18" t="s">
        <v>52</v>
      </c>
    </row>
    <row r="6" spans="2:13" x14ac:dyDescent="0.25">
      <c r="B6" s="2" t="s">
        <v>53</v>
      </c>
      <c r="C6" s="2" t="s">
        <v>54</v>
      </c>
      <c r="D6" s="16">
        <v>46209</v>
      </c>
      <c r="E6" s="17">
        <v>629</v>
      </c>
      <c r="F6" s="2">
        <v>286.58199999999999</v>
      </c>
      <c r="G6" s="2">
        <v>121.48099999999999</v>
      </c>
      <c r="H6" s="2">
        <f>E6+F6-G6</f>
        <v>794.101</v>
      </c>
      <c r="I6" s="2">
        <v>882.20100000000002</v>
      </c>
      <c r="J6" s="2">
        <f>I6-729.143</f>
        <v>153.05799999999999</v>
      </c>
      <c r="K6" s="13">
        <f>H6/I6</f>
        <v>0.90013613677608617</v>
      </c>
      <c r="L6" s="2">
        <f>H6/J6</f>
        <v>5.1882358321681981</v>
      </c>
      <c r="M6" s="2" t="s">
        <v>55</v>
      </c>
    </row>
    <row r="7" spans="2:13" x14ac:dyDescent="0.25">
      <c r="B7" s="2" t="s">
        <v>56</v>
      </c>
      <c r="C7" s="2" t="s">
        <v>57</v>
      </c>
      <c r="D7" s="16">
        <v>46209</v>
      </c>
      <c r="E7" s="17">
        <v>11361</v>
      </c>
      <c r="F7" s="2">
        <v>23</v>
      </c>
      <c r="G7" s="2">
        <v>3792</v>
      </c>
      <c r="H7" s="2">
        <f>E7+F7-G7</f>
        <v>7592</v>
      </c>
      <c r="I7" s="2">
        <v>1569</v>
      </c>
      <c r="J7" s="2">
        <v>475</v>
      </c>
      <c r="K7" s="13">
        <f>H7/I7</f>
        <v>4.8387507966857868</v>
      </c>
      <c r="L7" s="2">
        <f>H7/J7</f>
        <v>15.983157894736841</v>
      </c>
      <c r="M7" s="2" t="s">
        <v>55</v>
      </c>
    </row>
    <row r="8" spans="2:13" x14ac:dyDescent="0.25">
      <c r="B8" s="2" t="s">
        <v>58</v>
      </c>
      <c r="C8" s="2" t="s">
        <v>57</v>
      </c>
      <c r="D8" s="16">
        <v>46209</v>
      </c>
      <c r="E8" s="17">
        <v>66492</v>
      </c>
      <c r="F8" s="2">
        <v>259</v>
      </c>
      <c r="G8" s="2">
        <v>42299</v>
      </c>
      <c r="H8" s="2">
        <f>E8+F8-G8</f>
        <v>24452</v>
      </c>
      <c r="I8" s="2">
        <v>3285</v>
      </c>
      <c r="J8" s="2">
        <v>1172</v>
      </c>
      <c r="K8" s="13">
        <f>H8/I8</f>
        <v>7.4435312024353122</v>
      </c>
      <c r="L8" s="2">
        <f>H8/J8</f>
        <v>20.863481228668942</v>
      </c>
      <c r="M8" s="2" t="s">
        <v>55</v>
      </c>
    </row>
    <row r="9" spans="2:13" x14ac:dyDescent="0.25">
      <c r="B9" s="2" t="s">
        <v>59</v>
      </c>
      <c r="C9" s="2" t="s">
        <v>57</v>
      </c>
      <c r="D9" s="2" t="s">
        <v>60</v>
      </c>
      <c r="E9" s="17">
        <v>0</v>
      </c>
      <c r="F9" s="2">
        <v>85</v>
      </c>
      <c r="G9" s="2">
        <v>4608</v>
      </c>
      <c r="H9" s="2">
        <f>E9+F9-G9</f>
        <v>-4523</v>
      </c>
      <c r="I9" s="2">
        <v>1043</v>
      </c>
      <c r="J9" s="2">
        <v>217</v>
      </c>
      <c r="K9" s="13">
        <f>H9/I9</f>
        <v>-4.3365292425695108</v>
      </c>
      <c r="L9" s="2">
        <f>H9/J9</f>
        <v>-20.843317972350231</v>
      </c>
      <c r="M9" s="2" t="s">
        <v>61</v>
      </c>
    </row>
    <row r="10" spans="2:13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13" x14ac:dyDescent="0.25">
      <c r="B12" s="3" t="s">
        <v>62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x14ac:dyDescent="0.25">
      <c r="B13" s="2" t="s">
        <v>63</v>
      </c>
      <c r="C13" s="2"/>
      <c r="D13" s="2"/>
      <c r="E13" s="2"/>
      <c r="F13" s="2"/>
      <c r="G13" s="2"/>
      <c r="H13" s="2"/>
      <c r="I13" s="2"/>
      <c r="J13" s="2"/>
      <c r="K13" s="13">
        <f>AVERAGE(K6:K8)</f>
        <v>4.3941393786323948</v>
      </c>
      <c r="L13" s="13">
        <f>AVERAGE(L6:L8)</f>
        <v>14.011624985191327</v>
      </c>
      <c r="M13" s="2"/>
    </row>
    <row r="14" spans="2:13" x14ac:dyDescent="0.25">
      <c r="B14" s="2" t="s">
        <v>64</v>
      </c>
      <c r="C14" s="2"/>
      <c r="D14" s="2"/>
      <c r="E14" s="2"/>
      <c r="F14" s="2"/>
      <c r="G14" s="2"/>
      <c r="H14" s="2"/>
      <c r="I14" s="2"/>
      <c r="J14" s="2"/>
      <c r="K14" s="13">
        <f>MEDIAN(K6:K8)</f>
        <v>4.8387507966857868</v>
      </c>
      <c r="L14" s="13">
        <f>MEDIAN(L6:L8)</f>
        <v>15.983157894736841</v>
      </c>
      <c r="M14" s="2"/>
    </row>
    <row r="15" spans="2:13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13" x14ac:dyDescent="0.25">
      <c r="B17" s="3" t="s">
        <v>65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5">
      <c r="B18" s="24" t="s">
        <v>66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spans="2:13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spans="2:13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</sheetData>
  <mergeCells count="3">
    <mergeCell ref="B2:I2"/>
    <mergeCell ref="B3:I3"/>
    <mergeCell ref="B18:M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3FC07-3C5B-4E97-9736-4AB2731BA339}">
  <dimension ref="A1:H16"/>
  <sheetViews>
    <sheetView workbookViewId="0">
      <pane ySplit="4" topLeftCell="A5" activePane="bottomLeft" state="frozenSplit"/>
      <selection pane="bottomLeft" sqref="A1:H1"/>
    </sheetView>
  </sheetViews>
  <sheetFormatPr defaultRowHeight="12.5" x14ac:dyDescent="0.25"/>
  <cols>
    <col min="1" max="1" width="30.77734375" style="1" customWidth="1"/>
    <col min="2" max="7" width="18.77734375" style="1" customWidth="1"/>
    <col min="8" max="8" width="32.77734375" style="1" customWidth="1"/>
    <col min="9" max="16384" width="8.88671875" style="1"/>
  </cols>
  <sheetData>
    <row r="1" spans="1:8" x14ac:dyDescent="0.25">
      <c r="A1" s="21" t="s">
        <v>87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88</v>
      </c>
      <c r="B2" s="24"/>
      <c r="C2" s="24"/>
      <c r="D2" s="24"/>
      <c r="E2" s="24"/>
      <c r="F2" s="24"/>
      <c r="G2" s="24"/>
      <c r="H2" s="24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3" x14ac:dyDescent="0.25">
      <c r="A4" s="3" t="s">
        <v>89</v>
      </c>
      <c r="B4" s="2"/>
      <c r="C4" s="2"/>
      <c r="D4" s="3" t="s">
        <v>90</v>
      </c>
      <c r="E4" s="2"/>
      <c r="F4" s="2"/>
      <c r="G4" s="2"/>
      <c r="H4" s="2"/>
    </row>
    <row r="5" spans="1:8" ht="13" x14ac:dyDescent="0.25">
      <c r="A5" s="18" t="s">
        <v>50</v>
      </c>
      <c r="B5" s="18" t="s">
        <v>75</v>
      </c>
      <c r="C5" s="2"/>
      <c r="D5" s="18" t="s">
        <v>51</v>
      </c>
      <c r="E5" s="18" t="s">
        <v>75</v>
      </c>
      <c r="F5" s="2"/>
      <c r="G5" s="2"/>
      <c r="H5" s="2"/>
    </row>
    <row r="6" spans="1:8" x14ac:dyDescent="0.25">
      <c r="A6" s="13">
        <v>3.21</v>
      </c>
      <c r="B6" s="12">
        <f>((Inputs!B11*A6)+Inputs!B13-Inputs!B14)/Inputs!B10</f>
        <v>198.80706285714288</v>
      </c>
      <c r="C6" s="2"/>
      <c r="D6" s="13">
        <v>11.85</v>
      </c>
      <c r="E6" s="12">
        <f>((Inputs!B12*D6)+Inputs!B13-Inputs!B14)/Inputs!B10</f>
        <v>198.8702857142857</v>
      </c>
      <c r="F6" s="2"/>
      <c r="G6" s="2"/>
      <c r="H6" s="2"/>
    </row>
    <row r="7" spans="1:8" x14ac:dyDescent="0.25">
      <c r="A7" s="13">
        <v>4</v>
      </c>
      <c r="B7" s="12">
        <f>((Inputs!B11*A7)+Inputs!B13-Inputs!B14)/Inputs!B10</f>
        <v>245.85314285714287</v>
      </c>
      <c r="C7" s="2"/>
      <c r="D7" s="13">
        <v>14.01</v>
      </c>
      <c r="E7" s="12">
        <f>((Inputs!B12*D7)+Inputs!B13-Inputs!B14)/Inputs!B10</f>
        <v>233.72651428571425</v>
      </c>
      <c r="F7" s="2"/>
      <c r="G7" s="2"/>
      <c r="H7" s="2"/>
    </row>
    <row r="8" spans="1:8" x14ac:dyDescent="0.25">
      <c r="A8" s="13">
        <v>4.3899999999999997</v>
      </c>
      <c r="B8" s="12">
        <f>((Inputs!B11*A8)+Inputs!B13-Inputs!B14)/Inputs!B10</f>
        <v>269.07842285714287</v>
      </c>
      <c r="C8" s="2"/>
      <c r="D8" s="13">
        <v>14.71</v>
      </c>
      <c r="E8" s="12">
        <f>((Inputs!B12*D8)+Inputs!B13-Inputs!B14)/Inputs!B10</f>
        <v>245.02251428571429</v>
      </c>
      <c r="F8" s="2"/>
      <c r="G8" s="2"/>
      <c r="H8" s="2"/>
    </row>
    <row r="9" spans="1:8" x14ac:dyDescent="0.25">
      <c r="A9" s="13">
        <v>4.84</v>
      </c>
      <c r="B9" s="12">
        <f>((Inputs!B11*A9)+Inputs!B13-Inputs!B14)/Inputs!B10</f>
        <v>295.87682285714283</v>
      </c>
      <c r="C9" s="2"/>
      <c r="D9" s="13">
        <v>15.98</v>
      </c>
      <c r="E9" s="12">
        <f>((Inputs!B12*D9)+Inputs!B13-Inputs!B14)/Inputs!B10</f>
        <v>265.5166857142857</v>
      </c>
      <c r="F9" s="2"/>
      <c r="G9" s="2"/>
      <c r="H9" s="2"/>
    </row>
    <row r="10" spans="1:8" x14ac:dyDescent="0.25">
      <c r="A10" s="13">
        <v>6.14</v>
      </c>
      <c r="B10" s="12">
        <f>((Inputs!B11*A10)+Inputs!B13-Inputs!B14)/Inputs!B10</f>
        <v>373.29442285714288</v>
      </c>
      <c r="C10" s="2"/>
      <c r="D10" s="13">
        <v>18.420000000000002</v>
      </c>
      <c r="E10" s="12">
        <f>((Inputs!B12*D10)+Inputs!B13-Inputs!B14)/Inputs!B10</f>
        <v>304.89131428571426</v>
      </c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ht="13" x14ac:dyDescent="0.25">
      <c r="A13" s="3" t="s">
        <v>91</v>
      </c>
      <c r="B13" s="2"/>
      <c r="C13" s="2"/>
      <c r="D13" s="2"/>
      <c r="E13" s="2"/>
      <c r="F13" s="2"/>
      <c r="G13" s="2"/>
      <c r="H13" s="2"/>
    </row>
    <row r="14" spans="1:8" x14ac:dyDescent="0.25">
      <c r="A14" s="24" t="s">
        <v>92</v>
      </c>
      <c r="B14" s="24"/>
      <c r="C14" s="24"/>
      <c r="D14" s="24"/>
      <c r="E14" s="24"/>
      <c r="F14" s="24"/>
      <c r="G14" s="24"/>
      <c r="H14" s="24"/>
    </row>
    <row r="15" spans="1:8" x14ac:dyDescent="0.25">
      <c r="A15" s="24"/>
      <c r="B15" s="24"/>
      <c r="C15" s="24"/>
      <c r="D15" s="24"/>
      <c r="E15" s="24"/>
      <c r="F15" s="24"/>
      <c r="G15" s="24"/>
      <c r="H15" s="24"/>
    </row>
    <row r="16" spans="1:8" x14ac:dyDescent="0.25">
      <c r="A16" s="24"/>
      <c r="B16" s="24"/>
      <c r="C16" s="24"/>
      <c r="D16" s="24"/>
      <c r="E16" s="24"/>
      <c r="F16" s="24"/>
      <c r="G16" s="24"/>
      <c r="H16" s="24"/>
    </row>
  </sheetData>
  <mergeCells count="3">
    <mergeCell ref="A1:H1"/>
    <mergeCell ref="A2:H2"/>
    <mergeCell ref="A14:H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BDB3-4749-407D-B263-ED7D061BB6EF}">
  <dimension ref="A1:H11"/>
  <sheetViews>
    <sheetView workbookViewId="0">
      <pane ySplit="4" topLeftCell="A5" activePane="bottomLeft" state="frozenSplit"/>
      <selection pane="bottomLeft" sqref="A1:H1"/>
    </sheetView>
  </sheetViews>
  <sheetFormatPr defaultRowHeight="12.5" x14ac:dyDescent="0.25"/>
  <cols>
    <col min="1" max="1" width="30.77734375" style="1" customWidth="1"/>
    <col min="2" max="7" width="18.77734375" style="1" customWidth="1"/>
    <col min="8" max="8" width="32.77734375" style="1" customWidth="1"/>
    <col min="9" max="16384" width="8.88671875" style="1"/>
  </cols>
  <sheetData>
    <row r="1" spans="1:8" x14ac:dyDescent="0.25">
      <c r="A1" s="21" t="s">
        <v>93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94</v>
      </c>
      <c r="B2" s="24"/>
      <c r="C2" s="24"/>
      <c r="D2" s="24"/>
      <c r="E2" s="24"/>
      <c r="F2" s="24"/>
      <c r="G2" s="24"/>
      <c r="H2" s="24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3" x14ac:dyDescent="0.25">
      <c r="A4" s="18" t="s">
        <v>95</v>
      </c>
      <c r="B4" s="18" t="s">
        <v>96</v>
      </c>
      <c r="C4" s="18" t="s">
        <v>97</v>
      </c>
      <c r="D4" s="18" t="s">
        <v>98</v>
      </c>
      <c r="E4" s="18" t="s">
        <v>99</v>
      </c>
      <c r="F4" s="18" t="s">
        <v>100</v>
      </c>
      <c r="G4" s="2"/>
      <c r="H4" s="2"/>
    </row>
    <row r="5" spans="1:8" x14ac:dyDescent="0.25">
      <c r="A5" s="2" t="s">
        <v>101</v>
      </c>
      <c r="B5" s="20">
        <f>Inputs!B22+Inputs!B23</f>
        <v>1</v>
      </c>
      <c r="C5" s="20">
        <v>1</v>
      </c>
      <c r="D5" s="20">
        <f>B5-C5</f>
        <v>0</v>
      </c>
      <c r="E5" s="20">
        <v>1E-4</v>
      </c>
      <c r="F5" s="2" t="str">
        <f>IF(ABS(D5)&lt;=E5,"OK","Check")</f>
        <v>OK</v>
      </c>
      <c r="G5" s="2"/>
      <c r="H5" s="2"/>
    </row>
    <row r="6" spans="1:8" x14ac:dyDescent="0.25">
      <c r="A6" s="2" t="s">
        <v>102</v>
      </c>
      <c r="B6" s="20">
        <f>Inputs!B17</f>
        <v>3347.21</v>
      </c>
      <c r="C6" s="20">
        <f>Inputs!B9+Inputs!B14-Inputs!B13</f>
        <v>3347.21</v>
      </c>
      <c r="D6" s="20">
        <f>B6-C6</f>
        <v>0</v>
      </c>
      <c r="E6" s="20">
        <v>0.1</v>
      </c>
      <c r="F6" s="2" t="str">
        <f>IF(ABS(D6)&lt;=E6,"OK","Check")</f>
        <v>OK</v>
      </c>
      <c r="G6" s="2"/>
      <c r="H6" s="2"/>
    </row>
    <row r="7" spans="1:8" x14ac:dyDescent="0.25">
      <c r="A7" s="2" t="s">
        <v>103</v>
      </c>
      <c r="B7" s="20">
        <f>Valuation!H14</f>
        <v>277.66155918821909</v>
      </c>
      <c r="C7" s="20">
        <f>Valuation!H9</f>
        <v>247.9816145957162</v>
      </c>
      <c r="D7" s="20">
        <f>B7-C7</f>
        <v>29.679944592502892</v>
      </c>
      <c r="E7" s="20">
        <v>0</v>
      </c>
      <c r="F7" s="2" t="str">
        <f>IF(B7&gt;=C7,"OK","Check")</f>
        <v>OK</v>
      </c>
      <c r="G7" s="2"/>
      <c r="H7" s="2"/>
    </row>
    <row r="8" spans="1:8" x14ac:dyDescent="0.25">
      <c r="A8" s="2" t="s">
        <v>104</v>
      </c>
      <c r="B8" s="20">
        <f>Inputs!B11+Inputs!B12</f>
        <v>1324.56</v>
      </c>
      <c r="C8" s="20">
        <v>0</v>
      </c>
      <c r="D8" s="20">
        <f>B8-C8</f>
        <v>1324.56</v>
      </c>
      <c r="E8" s="20">
        <v>0</v>
      </c>
      <c r="F8" s="2" t="str">
        <f>IF(B8&gt;C8,"OK","Check")</f>
        <v>OK</v>
      </c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ht="13" x14ac:dyDescent="0.25">
      <c r="A11" s="3" t="s">
        <v>105</v>
      </c>
      <c r="B11" s="2"/>
      <c r="C11" s="2"/>
      <c r="D11" s="2"/>
      <c r="E11" s="2"/>
      <c r="F11" s="2" t="str">
        <f>IF(COUNTIF(F5:F8,"Check")=0,"OK","Review checks")</f>
        <v>OK</v>
      </c>
      <c r="G11" s="2"/>
      <c r="H11" s="2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EB076-042A-433B-8BF6-7D89DF2C0071}">
  <dimension ref="A1:H20"/>
  <sheetViews>
    <sheetView showGridLines="0" topLeftCell="C1" workbookViewId="0">
      <pane ySplit="4" topLeftCell="A5" activePane="bottomLeft" state="frozenSplit"/>
      <selection pane="bottomLeft" activeCell="G5" sqref="G5"/>
    </sheetView>
  </sheetViews>
  <sheetFormatPr defaultRowHeight="12.5" x14ac:dyDescent="0.25"/>
  <cols>
    <col min="1" max="1" width="30.77734375" style="1" customWidth="1"/>
    <col min="2" max="5" width="18.77734375" style="1" customWidth="1"/>
    <col min="6" max="7" width="48.77734375" style="1" customWidth="1"/>
    <col min="8" max="8" width="32.77734375" style="1" customWidth="1"/>
    <col min="9" max="16384" width="8.88671875" style="1"/>
  </cols>
  <sheetData>
    <row r="1" spans="1:8" x14ac:dyDescent="0.25">
      <c r="A1" s="21" t="s">
        <v>106</v>
      </c>
      <c r="B1" s="22"/>
      <c r="C1" s="22"/>
      <c r="D1" s="22"/>
      <c r="E1" s="22"/>
      <c r="F1" s="22"/>
      <c r="G1" s="22"/>
      <c r="H1" s="22"/>
    </row>
    <row r="2" spans="1:8" x14ac:dyDescent="0.25">
      <c r="A2" s="23" t="s">
        <v>107</v>
      </c>
      <c r="B2" s="24"/>
      <c r="C2" s="24"/>
      <c r="D2" s="24"/>
      <c r="E2" s="24"/>
      <c r="F2" s="24"/>
      <c r="G2" s="24"/>
      <c r="H2" s="24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3" x14ac:dyDescent="0.25">
      <c r="A4" s="18" t="s">
        <v>108</v>
      </c>
      <c r="B4" s="18" t="s">
        <v>109</v>
      </c>
      <c r="C4" s="18" t="s">
        <v>110</v>
      </c>
      <c r="D4" s="18" t="s">
        <v>111</v>
      </c>
      <c r="E4" s="18" t="s">
        <v>112</v>
      </c>
      <c r="F4" s="18" t="s">
        <v>113</v>
      </c>
      <c r="G4" s="18" t="s">
        <v>65</v>
      </c>
      <c r="H4" s="2"/>
    </row>
    <row r="5" spans="1:8" x14ac:dyDescent="0.25">
      <c r="A5" s="8" t="s">
        <v>114</v>
      </c>
      <c r="B5" s="8"/>
      <c r="C5" s="8"/>
      <c r="D5" s="8"/>
      <c r="E5" s="8"/>
      <c r="F5" s="8"/>
      <c r="G5" s="8"/>
      <c r="H5" s="2"/>
    </row>
    <row r="6" spans="1:8" x14ac:dyDescent="0.25">
      <c r="A6" s="8" t="s">
        <v>115</v>
      </c>
      <c r="B6" s="8"/>
      <c r="C6" s="8"/>
      <c r="D6" s="8"/>
      <c r="E6" s="8"/>
      <c r="F6" s="8"/>
      <c r="G6" s="8"/>
      <c r="H6" s="2"/>
    </row>
    <row r="7" spans="1:8" x14ac:dyDescent="0.25">
      <c r="A7" s="8" t="s">
        <v>116</v>
      </c>
      <c r="B7" s="8"/>
      <c r="C7" s="8"/>
      <c r="D7" s="8"/>
      <c r="E7" s="8"/>
      <c r="F7" s="8"/>
      <c r="G7" s="8"/>
      <c r="H7" s="2"/>
    </row>
    <row r="8" spans="1:8" x14ac:dyDescent="0.25">
      <c r="A8" s="8" t="s">
        <v>117</v>
      </c>
      <c r="B8" s="8"/>
      <c r="C8" s="8"/>
      <c r="D8" s="8"/>
      <c r="E8" s="8"/>
      <c r="F8" s="8"/>
      <c r="G8" s="8"/>
      <c r="H8" s="2"/>
    </row>
    <row r="9" spans="1:8" x14ac:dyDescent="0.25">
      <c r="A9" s="8" t="s">
        <v>118</v>
      </c>
      <c r="B9" s="8"/>
      <c r="C9" s="8"/>
      <c r="D9" s="8"/>
      <c r="E9" s="8"/>
      <c r="F9" s="8"/>
      <c r="G9" s="8"/>
      <c r="H9" s="2"/>
    </row>
    <row r="10" spans="1:8" x14ac:dyDescent="0.25">
      <c r="A10" s="8" t="s">
        <v>119</v>
      </c>
      <c r="B10" s="8"/>
      <c r="C10" s="8"/>
      <c r="D10" s="8"/>
      <c r="E10" s="8"/>
      <c r="F10" s="8"/>
      <c r="G10" s="8"/>
      <c r="H10" s="2"/>
    </row>
    <row r="11" spans="1:8" x14ac:dyDescent="0.25">
      <c r="A11" s="8" t="s">
        <v>120</v>
      </c>
      <c r="B11" s="8"/>
      <c r="C11" s="8"/>
      <c r="D11" s="8"/>
      <c r="E11" s="8"/>
      <c r="F11" s="8"/>
      <c r="G11" s="8"/>
      <c r="H11" s="2"/>
    </row>
    <row r="12" spans="1:8" x14ac:dyDescent="0.25">
      <c r="A12" s="8" t="s">
        <v>121</v>
      </c>
      <c r="B12" s="8"/>
      <c r="C12" s="8"/>
      <c r="D12" s="8"/>
      <c r="E12" s="8"/>
      <c r="F12" s="8"/>
      <c r="G12" s="8"/>
      <c r="H12" s="2"/>
    </row>
    <row r="13" spans="1:8" x14ac:dyDescent="0.25">
      <c r="A13" s="8" t="s">
        <v>122</v>
      </c>
      <c r="B13" s="8"/>
      <c r="C13" s="8"/>
      <c r="D13" s="8"/>
      <c r="E13" s="8"/>
      <c r="F13" s="8"/>
      <c r="G13" s="8"/>
      <c r="H13" s="2"/>
    </row>
    <row r="14" spans="1:8" x14ac:dyDescent="0.25">
      <c r="A14" s="8" t="s">
        <v>123</v>
      </c>
      <c r="B14" s="8"/>
      <c r="C14" s="8"/>
      <c r="D14" s="8"/>
      <c r="E14" s="8"/>
      <c r="F14" s="8"/>
      <c r="G14" s="8"/>
      <c r="H14" s="2"/>
    </row>
    <row r="15" spans="1:8" x14ac:dyDescent="0.25">
      <c r="A15" s="8"/>
      <c r="B15" s="8"/>
      <c r="C15" s="8"/>
      <c r="D15" s="8"/>
      <c r="E15" s="8"/>
      <c r="F15" s="8"/>
      <c r="G15" s="8"/>
      <c r="H15" s="2"/>
    </row>
    <row r="16" spans="1:8" x14ac:dyDescent="0.25">
      <c r="A16" s="8"/>
      <c r="B16" s="8"/>
      <c r="C16" s="8"/>
      <c r="D16" s="8"/>
      <c r="E16" s="8"/>
      <c r="F16" s="8"/>
      <c r="G16" s="8"/>
      <c r="H16" s="2"/>
    </row>
    <row r="17" spans="1:8" x14ac:dyDescent="0.25">
      <c r="A17" s="8"/>
      <c r="B17" s="8"/>
      <c r="C17" s="8"/>
      <c r="D17" s="8"/>
      <c r="E17" s="8"/>
      <c r="F17" s="8"/>
      <c r="G17" s="8"/>
      <c r="H17" s="2"/>
    </row>
    <row r="18" spans="1:8" x14ac:dyDescent="0.25">
      <c r="A18" s="8"/>
      <c r="B18" s="8"/>
      <c r="C18" s="8"/>
      <c r="D18" s="8"/>
      <c r="E18" s="8"/>
      <c r="F18" s="8"/>
      <c r="G18" s="8"/>
      <c r="H18" s="2"/>
    </row>
    <row r="19" spans="1:8" x14ac:dyDescent="0.25">
      <c r="A19" s="8"/>
      <c r="B19" s="8"/>
      <c r="C19" s="8"/>
      <c r="D19" s="8"/>
      <c r="E19" s="8"/>
      <c r="F19" s="8"/>
      <c r="G19" s="8"/>
      <c r="H19" s="2"/>
    </row>
    <row r="20" spans="1:8" x14ac:dyDescent="0.25">
      <c r="A20" s="8"/>
      <c r="B20" s="8"/>
      <c r="C20" s="8"/>
      <c r="D20" s="8"/>
      <c r="E20" s="8"/>
      <c r="F20" s="8"/>
      <c r="G20" s="8"/>
      <c r="H20" s="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Inputs</vt:lpstr>
      <vt:lpstr>Valuation</vt:lpstr>
      <vt:lpstr>Comps</vt:lpstr>
      <vt:lpstr>Sensitivity</vt:lpstr>
      <vt:lpstr>Checks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PADARBIND PRADHAN</dc:creator>
  <cp:lastModifiedBy>PADARBIND PRADHAN</cp:lastModifiedBy>
  <dcterms:created xsi:type="dcterms:W3CDTF">2026-07-06T14:55:37Z</dcterms:created>
  <dcterms:modified xsi:type="dcterms:W3CDTF">2026-07-06T15:39:32Z</dcterms:modified>
</cp:coreProperties>
</file>