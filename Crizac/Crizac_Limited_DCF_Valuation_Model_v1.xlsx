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VMJX4K9lQR1rVjx0uUJAQLZFd7Ea6Y2m\YouWe Quest Server - New\2. Capital Market\Equity Research\Crizac\Output\Valuation\"/>
    </mc:Choice>
  </mc:AlternateContent>
  <xr:revisionPtr revIDLastSave="0" documentId="13_ncr:1_{52ECEDEF-F886-4DBC-8B30-F9F146542704}" xr6:coauthVersionLast="47" xr6:coauthVersionMax="47" xr10:uidLastSave="{00000000-0000-0000-0000-000000000000}"/>
  <bookViews>
    <workbookView xWindow="-110" yWindow="-110" windowWidth="19420" windowHeight="10300" firstSheet="1" activeTab="4" xr2:uid="{FF97133F-DCBB-47E0-99E5-7E2325806B71}"/>
  </bookViews>
  <sheets>
    <sheet name="Prepared By" sheetId="10" r:id="rId1"/>
    <sheet name="Inputs" sheetId="1" r:id="rId2"/>
    <sheet name="TOC" sheetId="2" r:id="rId3"/>
    <sheet name="Conclusion" sheetId="3" r:id="rId4"/>
    <sheet name="DCF" sheetId="4" r:id="rId5"/>
    <sheet name="WACC" sheetId="5" r:id="rId6"/>
    <sheet name="PL&amp;BS" sheetId="6" r:id="rId7"/>
    <sheet name="WC Movement" sheetId="7" r:id="rId8"/>
    <sheet name="Sources" sheetId="8" r:id="rId9"/>
    <sheet name="Checks" sheetId="9" r:id="rId10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4">DCF!$B$2:$L$52</definedName>
    <definedName name="_xlnm.Print_Area" localSheetId="6">'PL&amp;BS'!$A$1:$O$135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0" i="1" l="1"/>
  <c r="D40" i="1" s="1"/>
  <c r="E40" i="1" s="1"/>
  <c r="F40" i="1" s="1"/>
  <c r="G40" i="1" s="1"/>
  <c r="H40" i="1" s="1"/>
  <c r="H131" i="6"/>
  <c r="G134" i="6"/>
  <c r="G132" i="6"/>
  <c r="G131" i="6"/>
  <c r="G126" i="6"/>
  <c r="G125" i="6"/>
  <c r="G121" i="6"/>
  <c r="G120" i="6"/>
  <c r="G119" i="6"/>
  <c r="G118" i="6"/>
  <c r="G117" i="6"/>
  <c r="G113" i="6"/>
  <c r="G112" i="6"/>
  <c r="G111" i="6"/>
  <c r="F134" i="6"/>
  <c r="F132" i="6"/>
  <c r="F131" i="6"/>
  <c r="F133" i="6" s="1"/>
  <c r="F135" i="6" s="1"/>
  <c r="F126" i="6"/>
  <c r="F125" i="6"/>
  <c r="F121" i="6"/>
  <c r="F120" i="6"/>
  <c r="F119" i="6"/>
  <c r="F118" i="6"/>
  <c r="F117" i="6"/>
  <c r="F113" i="6"/>
  <c r="F112" i="6"/>
  <c r="F111" i="6"/>
  <c r="E134" i="6"/>
  <c r="E132" i="6"/>
  <c r="E131" i="6"/>
  <c r="E126" i="6"/>
  <c r="E125" i="6"/>
  <c r="E121" i="6"/>
  <c r="E120" i="6"/>
  <c r="E119" i="6"/>
  <c r="E118" i="6"/>
  <c r="E117" i="6"/>
  <c r="E113" i="6"/>
  <c r="E112" i="6"/>
  <c r="E111" i="6"/>
  <c r="G100" i="6"/>
  <c r="G101" i="6" s="1"/>
  <c r="F100" i="6"/>
  <c r="F101" i="6" s="1"/>
  <c r="E100" i="6"/>
  <c r="E101" i="6" s="1"/>
  <c r="D100" i="6"/>
  <c r="D101" i="6" s="1"/>
  <c r="G88" i="6"/>
  <c r="G89" i="6" s="1"/>
  <c r="F88" i="6"/>
  <c r="F89" i="6" s="1"/>
  <c r="E88" i="6"/>
  <c r="E89" i="6" s="1"/>
  <c r="D88" i="6"/>
  <c r="D89" i="6" s="1"/>
  <c r="G79" i="6"/>
  <c r="G80" i="6" s="1"/>
  <c r="F79" i="6"/>
  <c r="F80" i="6" s="1"/>
  <c r="E79" i="6"/>
  <c r="E80" i="6" s="1"/>
  <c r="D79" i="6"/>
  <c r="D80" i="6" s="1"/>
  <c r="G68" i="6"/>
  <c r="G69" i="6" s="1"/>
  <c r="F68" i="6"/>
  <c r="F69" i="6" s="1"/>
  <c r="E68" i="6"/>
  <c r="E69" i="6" s="1"/>
  <c r="D68" i="6"/>
  <c r="D69" i="6" s="1"/>
  <c r="G17" i="6"/>
  <c r="G15" i="6"/>
  <c r="F17" i="6"/>
  <c r="F15" i="6"/>
  <c r="E17" i="6"/>
  <c r="E15" i="6"/>
  <c r="D17" i="6"/>
  <c r="D15" i="6"/>
  <c r="B38" i="1"/>
  <c r="D6" i="7"/>
  <c r="E6" i="7" s="1"/>
  <c r="F6" i="7" s="1"/>
  <c r="G6" i="7" s="1"/>
  <c r="H6" i="7" s="1"/>
  <c r="I6" i="7" s="1"/>
  <c r="C37" i="1"/>
  <c r="C33" i="1"/>
  <c r="E38" i="4"/>
  <c r="E13" i="3" s="1"/>
  <c r="E36" i="4"/>
  <c r="E35" i="4"/>
  <c r="E34" i="4"/>
  <c r="H6" i="6"/>
  <c r="H16" i="6" s="1"/>
  <c r="H17" i="6" s="1"/>
  <c r="G50" i="6"/>
  <c r="G49" i="6"/>
  <c r="G48" i="6"/>
  <c r="G47" i="6"/>
  <c r="G46" i="6"/>
  <c r="G43" i="6"/>
  <c r="F43" i="6"/>
  <c r="E43" i="6"/>
  <c r="D43" i="6"/>
  <c r="G31" i="6"/>
  <c r="B6" i="7" s="1"/>
  <c r="G29" i="6"/>
  <c r="G23" i="6"/>
  <c r="G19" i="6"/>
  <c r="G13" i="6"/>
  <c r="G10" i="6"/>
  <c r="G20" i="6" s="1"/>
  <c r="G21" i="6" s="1"/>
  <c r="G9" i="6"/>
  <c r="G7" i="6"/>
  <c r="F31" i="6"/>
  <c r="F29" i="6"/>
  <c r="F23" i="6"/>
  <c r="F19" i="6"/>
  <c r="F13" i="6"/>
  <c r="F10" i="6"/>
  <c r="F20" i="6" s="1"/>
  <c r="F21" i="6" s="1"/>
  <c r="F9" i="6"/>
  <c r="F7" i="6"/>
  <c r="E31" i="6"/>
  <c r="E29" i="6"/>
  <c r="E23" i="6"/>
  <c r="E19" i="6"/>
  <c r="E13" i="6"/>
  <c r="E10" i="6"/>
  <c r="E20" i="6" s="1"/>
  <c r="E21" i="6" s="1"/>
  <c r="E9" i="6"/>
  <c r="E7" i="6"/>
  <c r="D31" i="6"/>
  <c r="D29" i="6"/>
  <c r="D23" i="6"/>
  <c r="D19" i="6"/>
  <c r="D13" i="6"/>
  <c r="D10" i="6"/>
  <c r="D20" i="6" s="1"/>
  <c r="D21" i="6" s="1"/>
  <c r="D9" i="6"/>
  <c r="D7" i="6"/>
  <c r="F11" i="10"/>
  <c r="E11" i="10"/>
  <c r="A11" i="10"/>
  <c r="B5" i="9"/>
  <c r="D5" i="9" s="1"/>
  <c r="F5" i="9" s="1"/>
  <c r="H10" i="3"/>
  <c r="H8" i="3"/>
  <c r="E11" i="3"/>
  <c r="E10" i="3"/>
  <c r="E9" i="3"/>
  <c r="B5" i="3"/>
  <c r="B3" i="3"/>
  <c r="B2" i="3"/>
  <c r="C50" i="4"/>
  <c r="C49" i="4"/>
  <c r="C48" i="4"/>
  <c r="L33" i="4"/>
  <c r="E25" i="4"/>
  <c r="F25" i="4" s="1"/>
  <c r="G25" i="4" s="1"/>
  <c r="H25" i="4" s="1"/>
  <c r="I25" i="4" s="1"/>
  <c r="J25" i="4" s="1"/>
  <c r="K25" i="4" s="1"/>
  <c r="L8" i="4"/>
  <c r="C5" i="4"/>
  <c r="C3" i="4"/>
  <c r="C2" i="4"/>
  <c r="B5" i="7"/>
  <c r="C18" i="5"/>
  <c r="C17" i="5"/>
  <c r="C15" i="5"/>
  <c r="C14" i="5" s="1"/>
  <c r="C9" i="5"/>
  <c r="C8" i="5"/>
  <c r="C7" i="5"/>
  <c r="C6" i="5"/>
  <c r="B2" i="5"/>
  <c r="B1" i="5"/>
  <c r="B26" i="1"/>
  <c r="B25" i="1"/>
  <c r="B27" i="1" s="1"/>
  <c r="G133" i="6" l="1"/>
  <c r="G135" i="6" s="1"/>
  <c r="G122" i="6"/>
  <c r="F122" i="6"/>
  <c r="E133" i="6"/>
  <c r="E135" i="6" s="1"/>
  <c r="E122" i="6"/>
  <c r="B7" i="7"/>
  <c r="D37" i="1"/>
  <c r="E37" i="1" s="1"/>
  <c r="F37" i="1" s="1"/>
  <c r="G37" i="1" s="1"/>
  <c r="H37" i="1" s="1"/>
  <c r="C38" i="1"/>
  <c r="D33" i="1"/>
  <c r="E33" i="1" s="1"/>
  <c r="E10" i="4"/>
  <c r="I6" i="6"/>
  <c r="I16" i="6" s="1"/>
  <c r="I17" i="6" s="1"/>
  <c r="H40" i="6"/>
  <c r="H39" i="6"/>
  <c r="H36" i="6"/>
  <c r="H30" i="6"/>
  <c r="H28" i="6"/>
  <c r="H117" i="6" s="1"/>
  <c r="H22" i="6"/>
  <c r="H111" i="6" s="1"/>
  <c r="H18" i="6"/>
  <c r="H19" i="6" s="1"/>
  <c r="H14" i="6"/>
  <c r="H15" i="6" s="1"/>
  <c r="H12" i="6"/>
  <c r="H13" i="6" s="1"/>
  <c r="H8" i="6"/>
  <c r="H7" i="6"/>
  <c r="E11" i="4" s="1"/>
  <c r="G11" i="6"/>
  <c r="F11" i="6"/>
  <c r="E11" i="6"/>
  <c r="D11" i="6"/>
  <c r="C19" i="5"/>
  <c r="C10" i="5"/>
  <c r="C16" i="5" s="1"/>
  <c r="C5" i="7"/>
  <c r="C7" i="7" s="1"/>
  <c r="B28" i="1"/>
  <c r="H98" i="6" l="1"/>
  <c r="H96" i="6"/>
  <c r="H97" i="6"/>
  <c r="H94" i="6"/>
  <c r="H95" i="6"/>
  <c r="H92" i="6"/>
  <c r="H93" i="6"/>
  <c r="H85" i="6"/>
  <c r="H86" i="6"/>
  <c r="H83" i="6"/>
  <c r="H84" i="6"/>
  <c r="H76" i="6"/>
  <c r="H77" i="6"/>
  <c r="H74" i="6"/>
  <c r="I131" i="6" s="1"/>
  <c r="H75" i="6"/>
  <c r="H119" i="6" s="1"/>
  <c r="H72" i="6"/>
  <c r="H118" i="6" s="1"/>
  <c r="H73" i="6"/>
  <c r="E38" i="1"/>
  <c r="D38" i="1"/>
  <c r="C8" i="7"/>
  <c r="H41" i="6"/>
  <c r="F33" i="1"/>
  <c r="F38" i="1" s="1"/>
  <c r="I7" i="6"/>
  <c r="F11" i="4" s="1"/>
  <c r="I8" i="6"/>
  <c r="I12" i="6"/>
  <c r="I13" i="6" s="1"/>
  <c r="I14" i="6"/>
  <c r="I15" i="6" s="1"/>
  <c r="I18" i="6"/>
  <c r="I19" i="6" s="1"/>
  <c r="F10" i="4"/>
  <c r="I22" i="6"/>
  <c r="I111" i="6" s="1"/>
  <c r="I28" i="6"/>
  <c r="I117" i="6" s="1"/>
  <c r="I30" i="6"/>
  <c r="I36" i="6"/>
  <c r="I39" i="6"/>
  <c r="I40" i="6"/>
  <c r="I95" i="6" s="1"/>
  <c r="J6" i="6"/>
  <c r="J16" i="6" s="1"/>
  <c r="J17" i="6" s="1"/>
  <c r="H31" i="6"/>
  <c r="H32" i="6"/>
  <c r="E21" i="4" s="1"/>
  <c r="H29" i="6"/>
  <c r="H35" i="6"/>
  <c r="E20" i="4"/>
  <c r="H23" i="6"/>
  <c r="E14" i="4"/>
  <c r="E19" i="4" s="1"/>
  <c r="G24" i="6"/>
  <c r="G26" i="6" s="1"/>
  <c r="G110" i="6" s="1"/>
  <c r="G114" i="6" s="1"/>
  <c r="G127" i="6" s="1"/>
  <c r="G128" i="6" s="1"/>
  <c r="F24" i="6"/>
  <c r="F26" i="6" s="1"/>
  <c r="F110" i="6" s="1"/>
  <c r="F114" i="6" s="1"/>
  <c r="F127" i="6" s="1"/>
  <c r="F128" i="6" s="1"/>
  <c r="E24" i="6"/>
  <c r="E26" i="6" s="1"/>
  <c r="E110" i="6" s="1"/>
  <c r="E114" i="6" s="1"/>
  <c r="E127" i="6" s="1"/>
  <c r="E128" i="6" s="1"/>
  <c r="D24" i="6"/>
  <c r="D26" i="6" s="1"/>
  <c r="H9" i="6"/>
  <c r="H10" i="6"/>
  <c r="H20" i="6" s="1"/>
  <c r="H21" i="6" s="1"/>
  <c r="C20" i="5"/>
  <c r="C23" i="5" s="1"/>
  <c r="D5" i="7"/>
  <c r="D7" i="7" s="1"/>
  <c r="D8" i="7" s="1"/>
  <c r="H125" i="6" l="1"/>
  <c r="H132" i="6"/>
  <c r="H133" i="6" s="1"/>
  <c r="H134" i="6"/>
  <c r="H126" i="6"/>
  <c r="H113" i="6"/>
  <c r="H99" i="6"/>
  <c r="H100" i="6" s="1"/>
  <c r="H101" i="6" s="1"/>
  <c r="I98" i="6"/>
  <c r="I96" i="6"/>
  <c r="I97" i="6"/>
  <c r="I94" i="6"/>
  <c r="I92" i="6"/>
  <c r="I93" i="6"/>
  <c r="H87" i="6"/>
  <c r="H88" i="6" s="1"/>
  <c r="H89" i="6" s="1"/>
  <c r="I85" i="6"/>
  <c r="I86" i="6"/>
  <c r="I83" i="6"/>
  <c r="I84" i="6"/>
  <c r="H78" i="6"/>
  <c r="I76" i="6"/>
  <c r="I77" i="6"/>
  <c r="I74" i="6"/>
  <c r="J131" i="6" s="1"/>
  <c r="I75" i="6"/>
  <c r="I119" i="6" s="1"/>
  <c r="I72" i="6"/>
  <c r="I118" i="6" s="1"/>
  <c r="I73" i="6"/>
  <c r="H65" i="6"/>
  <c r="H66" i="6"/>
  <c r="H63" i="6"/>
  <c r="H64" i="6"/>
  <c r="H61" i="6"/>
  <c r="H62" i="6"/>
  <c r="H59" i="6"/>
  <c r="H60" i="6"/>
  <c r="G33" i="1"/>
  <c r="G38" i="1" s="1"/>
  <c r="I9" i="6"/>
  <c r="I10" i="6"/>
  <c r="I20" i="6" s="1"/>
  <c r="I21" i="6" s="1"/>
  <c r="I23" i="6"/>
  <c r="F14" i="4"/>
  <c r="F19" i="4" s="1"/>
  <c r="I29" i="6"/>
  <c r="F20" i="4"/>
  <c r="I31" i="6"/>
  <c r="I32" i="6"/>
  <c r="F21" i="4" s="1"/>
  <c r="J7" i="6"/>
  <c r="G11" i="4" s="1"/>
  <c r="J8" i="6"/>
  <c r="J12" i="6"/>
  <c r="J13" i="6" s="1"/>
  <c r="J14" i="6"/>
  <c r="J15" i="6" s="1"/>
  <c r="J18" i="6"/>
  <c r="J19" i="6" s="1"/>
  <c r="J22" i="6"/>
  <c r="J111" i="6" s="1"/>
  <c r="J28" i="6"/>
  <c r="J117" i="6" s="1"/>
  <c r="J30" i="6"/>
  <c r="J36" i="6"/>
  <c r="J39" i="6"/>
  <c r="J40" i="6"/>
  <c r="K6" i="6"/>
  <c r="K16" i="6" s="1"/>
  <c r="K17" i="6" s="1"/>
  <c r="G10" i="4"/>
  <c r="H37" i="6"/>
  <c r="I35" i="6"/>
  <c r="H11" i="6"/>
  <c r="I41" i="6"/>
  <c r="F47" i="4"/>
  <c r="L34" i="4"/>
  <c r="B14" i="1"/>
  <c r="D11" i="10" s="1"/>
  <c r="H47" i="4"/>
  <c r="D47" i="4"/>
  <c r="B6" i="9"/>
  <c r="H9" i="3"/>
  <c r="G47" i="4"/>
  <c r="E47" i="4"/>
  <c r="D26" i="4"/>
  <c r="E5" i="7"/>
  <c r="E7" i="7" s="1"/>
  <c r="E8" i="7" s="1"/>
  <c r="I125" i="6" l="1"/>
  <c r="I126" i="6"/>
  <c r="I132" i="6"/>
  <c r="I133" i="6" s="1"/>
  <c r="I134" i="6"/>
  <c r="H120" i="6"/>
  <c r="I113" i="6"/>
  <c r="H135" i="6"/>
  <c r="H121" i="6"/>
  <c r="H79" i="6"/>
  <c r="H80" i="6" s="1"/>
  <c r="H112" i="6"/>
  <c r="I99" i="6"/>
  <c r="I100" i="6" s="1"/>
  <c r="I101" i="6" s="1"/>
  <c r="J98" i="6"/>
  <c r="J96" i="6"/>
  <c r="J97" i="6"/>
  <c r="J94" i="6"/>
  <c r="J95" i="6"/>
  <c r="J92" i="6"/>
  <c r="J93" i="6"/>
  <c r="I87" i="6"/>
  <c r="I88" i="6" s="1"/>
  <c r="I89" i="6" s="1"/>
  <c r="J85" i="6"/>
  <c r="J86" i="6"/>
  <c r="J83" i="6"/>
  <c r="J84" i="6"/>
  <c r="I78" i="6"/>
  <c r="J76" i="6"/>
  <c r="J77" i="6"/>
  <c r="J74" i="6"/>
  <c r="K131" i="6" s="1"/>
  <c r="J75" i="6"/>
  <c r="J119" i="6" s="1"/>
  <c r="J72" i="6"/>
  <c r="J118" i="6" s="1"/>
  <c r="J73" i="6"/>
  <c r="H67" i="6"/>
  <c r="H68" i="6" s="1"/>
  <c r="H69" i="6" s="1"/>
  <c r="I65" i="6"/>
  <c r="I66" i="6"/>
  <c r="I63" i="6"/>
  <c r="I64" i="6"/>
  <c r="I61" i="6"/>
  <c r="I62" i="6"/>
  <c r="I59" i="6"/>
  <c r="I60" i="6"/>
  <c r="I11" i="6"/>
  <c r="H33" i="1"/>
  <c r="H38" i="1" s="1"/>
  <c r="J9" i="6"/>
  <c r="J10" i="6"/>
  <c r="J20" i="6" s="1"/>
  <c r="J21" i="6" s="1"/>
  <c r="J23" i="6"/>
  <c r="G14" i="4"/>
  <c r="G19" i="4" s="1"/>
  <c r="J29" i="6"/>
  <c r="G20" i="4"/>
  <c r="J31" i="6"/>
  <c r="J32" i="6"/>
  <c r="G21" i="4" s="1"/>
  <c r="K7" i="6"/>
  <c r="H11" i="4" s="1"/>
  <c r="K8" i="6"/>
  <c r="K12" i="6"/>
  <c r="K13" i="6" s="1"/>
  <c r="K14" i="6"/>
  <c r="K15" i="6" s="1"/>
  <c r="K18" i="6"/>
  <c r="K19" i="6" s="1"/>
  <c r="K22" i="6"/>
  <c r="K111" i="6" s="1"/>
  <c r="K28" i="6"/>
  <c r="K117" i="6" s="1"/>
  <c r="K30" i="6"/>
  <c r="K36" i="6"/>
  <c r="K39" i="6"/>
  <c r="K40" i="6"/>
  <c r="L6" i="6"/>
  <c r="L16" i="6" s="1"/>
  <c r="L17" i="6" s="1"/>
  <c r="H10" i="4"/>
  <c r="H38" i="6"/>
  <c r="H42" i="6" s="1"/>
  <c r="H43" i="6" s="1"/>
  <c r="I37" i="6"/>
  <c r="J35" i="6"/>
  <c r="H24" i="6"/>
  <c r="E12" i="4"/>
  <c r="E15" i="4" s="1"/>
  <c r="J41" i="6"/>
  <c r="D6" i="9"/>
  <c r="F6" i="9"/>
  <c r="E26" i="4"/>
  <c r="F26" i="4"/>
  <c r="G26" i="4"/>
  <c r="H26" i="4"/>
  <c r="I26" i="4"/>
  <c r="J26" i="4"/>
  <c r="K26" i="4"/>
  <c r="F5" i="7"/>
  <c r="F7" i="7" s="1"/>
  <c r="F8" i="7" s="1"/>
  <c r="I121" i="6" l="1"/>
  <c r="J125" i="6"/>
  <c r="J132" i="6"/>
  <c r="J133" i="6" s="1"/>
  <c r="J134" i="6"/>
  <c r="J126" i="6"/>
  <c r="J113" i="6"/>
  <c r="I135" i="6"/>
  <c r="H122" i="6"/>
  <c r="I120" i="6"/>
  <c r="I79" i="6"/>
  <c r="I80" i="6" s="1"/>
  <c r="I112" i="6"/>
  <c r="J99" i="6"/>
  <c r="J100" i="6" s="1"/>
  <c r="J101" i="6" s="1"/>
  <c r="K98" i="6"/>
  <c r="K96" i="6"/>
  <c r="K97" i="6"/>
  <c r="K94" i="6"/>
  <c r="K95" i="6"/>
  <c r="K92" i="6"/>
  <c r="K93" i="6"/>
  <c r="J87" i="6"/>
  <c r="J88" i="6" s="1"/>
  <c r="J89" i="6" s="1"/>
  <c r="K85" i="6"/>
  <c r="K86" i="6"/>
  <c r="K83" i="6"/>
  <c r="K84" i="6"/>
  <c r="J78" i="6"/>
  <c r="K76" i="6"/>
  <c r="K77" i="6"/>
  <c r="K74" i="6"/>
  <c r="L131" i="6" s="1"/>
  <c r="K75" i="6"/>
  <c r="K119" i="6" s="1"/>
  <c r="K72" i="6"/>
  <c r="K118" i="6" s="1"/>
  <c r="K73" i="6"/>
  <c r="I67" i="6"/>
  <c r="I68" i="6" s="1"/>
  <c r="I69" i="6" s="1"/>
  <c r="J65" i="6"/>
  <c r="J66" i="6"/>
  <c r="J63" i="6"/>
  <c r="J64" i="6"/>
  <c r="J61" i="6"/>
  <c r="J62" i="6"/>
  <c r="J59" i="6"/>
  <c r="J60" i="6"/>
  <c r="F13" i="4"/>
  <c r="I24" i="6"/>
  <c r="I25" i="6" s="1"/>
  <c r="F12" i="4"/>
  <c r="F15" i="4" s="1"/>
  <c r="J11" i="6"/>
  <c r="K23" i="6"/>
  <c r="H14" i="4"/>
  <c r="H19" i="4" s="1"/>
  <c r="K29" i="6"/>
  <c r="H20" i="4"/>
  <c r="K31" i="6"/>
  <c r="K32" i="6"/>
  <c r="H21" i="4" s="1"/>
  <c r="L7" i="6"/>
  <c r="I11" i="4" s="1"/>
  <c r="L8" i="6"/>
  <c r="L12" i="6"/>
  <c r="L13" i="6" s="1"/>
  <c r="L14" i="6"/>
  <c r="L15" i="6" s="1"/>
  <c r="L18" i="6"/>
  <c r="L19" i="6" s="1"/>
  <c r="I10" i="4"/>
  <c r="L22" i="6"/>
  <c r="L111" i="6" s="1"/>
  <c r="L28" i="6"/>
  <c r="L117" i="6" s="1"/>
  <c r="L30" i="6"/>
  <c r="L36" i="6"/>
  <c r="L39" i="6"/>
  <c r="L40" i="6"/>
  <c r="M6" i="6"/>
  <c r="M16" i="6" s="1"/>
  <c r="M17" i="6" s="1"/>
  <c r="I38" i="6"/>
  <c r="I42" i="6" s="1"/>
  <c r="I43" i="6" s="1"/>
  <c r="J37" i="6"/>
  <c r="K35" i="6"/>
  <c r="E13" i="4"/>
  <c r="H25" i="6"/>
  <c r="K41" i="6"/>
  <c r="K9" i="6"/>
  <c r="K10" i="6"/>
  <c r="K20" i="6" s="1"/>
  <c r="K21" i="6" s="1"/>
  <c r="G5" i="7"/>
  <c r="G7" i="7" s="1"/>
  <c r="G8" i="7" s="1"/>
  <c r="I122" i="6" l="1"/>
  <c r="K132" i="6"/>
  <c r="K133" i="6" s="1"/>
  <c r="K134" i="6"/>
  <c r="K126" i="6"/>
  <c r="K125" i="6"/>
  <c r="J120" i="6"/>
  <c r="J121" i="6"/>
  <c r="K113" i="6"/>
  <c r="J135" i="6"/>
  <c r="J79" i="6"/>
  <c r="J80" i="6" s="1"/>
  <c r="J112" i="6"/>
  <c r="K99" i="6"/>
  <c r="K100" i="6" s="1"/>
  <c r="K101" i="6" s="1"/>
  <c r="L98" i="6"/>
  <c r="L96" i="6"/>
  <c r="L97" i="6"/>
  <c r="L94" i="6"/>
  <c r="L95" i="6"/>
  <c r="L92" i="6"/>
  <c r="L93" i="6"/>
  <c r="K87" i="6"/>
  <c r="K88" i="6" s="1"/>
  <c r="K89" i="6" s="1"/>
  <c r="L85" i="6"/>
  <c r="L86" i="6"/>
  <c r="L83" i="6"/>
  <c r="L84" i="6"/>
  <c r="K78" i="6"/>
  <c r="L76" i="6"/>
  <c r="L77" i="6"/>
  <c r="L74" i="6"/>
  <c r="M131" i="6" s="1"/>
  <c r="L75" i="6"/>
  <c r="L119" i="6" s="1"/>
  <c r="L72" i="6"/>
  <c r="L118" i="6" s="1"/>
  <c r="L73" i="6"/>
  <c r="J67" i="6"/>
  <c r="J68" i="6" s="1"/>
  <c r="J69" i="6" s="1"/>
  <c r="K65" i="6"/>
  <c r="K66" i="6"/>
  <c r="K63" i="6"/>
  <c r="K64" i="6"/>
  <c r="K61" i="6"/>
  <c r="K62" i="6"/>
  <c r="K59" i="6"/>
  <c r="K60" i="6"/>
  <c r="J24" i="6"/>
  <c r="J25" i="6" s="1"/>
  <c r="G12" i="4"/>
  <c r="G15" i="4" s="1"/>
  <c r="L9" i="6"/>
  <c r="L10" i="6"/>
  <c r="L20" i="6" s="1"/>
  <c r="L21" i="6" s="1"/>
  <c r="F16" i="4"/>
  <c r="F17" i="4" s="1"/>
  <c r="F23" i="4" s="1"/>
  <c r="F27" i="4" s="1"/>
  <c r="I26" i="6"/>
  <c r="I110" i="6" s="1"/>
  <c r="I114" i="6" s="1"/>
  <c r="L23" i="6"/>
  <c r="I14" i="4"/>
  <c r="I19" i="4" s="1"/>
  <c r="L29" i="6"/>
  <c r="I20" i="4"/>
  <c r="L31" i="6"/>
  <c r="L32" i="6"/>
  <c r="I21" i="4" s="1"/>
  <c r="M7" i="6"/>
  <c r="J11" i="4" s="1"/>
  <c r="M8" i="6"/>
  <c r="M12" i="6"/>
  <c r="M13" i="6" s="1"/>
  <c r="M14" i="6"/>
  <c r="M15" i="6" s="1"/>
  <c r="M18" i="6"/>
  <c r="M19" i="6" s="1"/>
  <c r="M22" i="6"/>
  <c r="M111" i="6" s="1"/>
  <c r="M28" i="6"/>
  <c r="M117" i="6" s="1"/>
  <c r="M30" i="6"/>
  <c r="M36" i="6"/>
  <c r="M39" i="6"/>
  <c r="M40" i="6"/>
  <c r="N6" i="6"/>
  <c r="N16" i="6" s="1"/>
  <c r="N17" i="6" s="1"/>
  <c r="J10" i="4"/>
  <c r="J38" i="6"/>
  <c r="J42" i="6" s="1"/>
  <c r="J43" i="6" s="1"/>
  <c r="K37" i="6"/>
  <c r="L35" i="6"/>
  <c r="K11" i="6"/>
  <c r="L41" i="6"/>
  <c r="E16" i="4"/>
  <c r="E17" i="4" s="1"/>
  <c r="E23" i="4" s="1"/>
  <c r="E27" i="4" s="1"/>
  <c r="H26" i="6"/>
  <c r="H110" i="6" s="1"/>
  <c r="H114" i="6" s="1"/>
  <c r="H127" i="6" s="1"/>
  <c r="H128" i="6" s="1"/>
  <c r="H5" i="7"/>
  <c r="H7" i="7" s="1"/>
  <c r="H8" i="7" s="1"/>
  <c r="L125" i="6" l="1"/>
  <c r="K121" i="6"/>
  <c r="I127" i="6"/>
  <c r="I128" i="6" s="1"/>
  <c r="L132" i="6"/>
  <c r="L133" i="6" s="1"/>
  <c r="L134" i="6"/>
  <c r="L126" i="6"/>
  <c r="L113" i="6"/>
  <c r="K120" i="6"/>
  <c r="K122" i="6" s="1"/>
  <c r="K135" i="6"/>
  <c r="J122" i="6"/>
  <c r="K79" i="6"/>
  <c r="K80" i="6" s="1"/>
  <c r="K112" i="6"/>
  <c r="L99" i="6"/>
  <c r="L100" i="6" s="1"/>
  <c r="L101" i="6" s="1"/>
  <c r="M98" i="6"/>
  <c r="M96" i="6"/>
  <c r="M97" i="6"/>
  <c r="M94" i="6"/>
  <c r="M95" i="6"/>
  <c r="M92" i="6"/>
  <c r="M93" i="6"/>
  <c r="L87" i="6"/>
  <c r="L88" i="6" s="1"/>
  <c r="L89" i="6" s="1"/>
  <c r="M85" i="6"/>
  <c r="M86" i="6"/>
  <c r="M83" i="6"/>
  <c r="M84" i="6"/>
  <c r="L78" i="6"/>
  <c r="M76" i="6"/>
  <c r="M77" i="6"/>
  <c r="M74" i="6"/>
  <c r="N131" i="6" s="1"/>
  <c r="M75" i="6"/>
  <c r="M119" i="6" s="1"/>
  <c r="M72" i="6"/>
  <c r="M118" i="6" s="1"/>
  <c r="M73" i="6"/>
  <c r="K67" i="6"/>
  <c r="K68" i="6" s="1"/>
  <c r="K69" i="6" s="1"/>
  <c r="L65" i="6"/>
  <c r="L66" i="6"/>
  <c r="L63" i="6"/>
  <c r="L64" i="6"/>
  <c r="L120" i="6" s="1"/>
  <c r="L61" i="6"/>
  <c r="L62" i="6"/>
  <c r="L59" i="6"/>
  <c r="L60" i="6"/>
  <c r="L11" i="6"/>
  <c r="G13" i="4"/>
  <c r="G16" i="4"/>
  <c r="G17" i="4" s="1"/>
  <c r="G23" i="4" s="1"/>
  <c r="G27" i="4" s="1"/>
  <c r="J26" i="6"/>
  <c r="J110" i="6" s="1"/>
  <c r="J114" i="6" s="1"/>
  <c r="M23" i="6"/>
  <c r="J14" i="4"/>
  <c r="J19" i="4" s="1"/>
  <c r="M29" i="6"/>
  <c r="J20" i="4"/>
  <c r="M31" i="6"/>
  <c r="M32" i="6"/>
  <c r="J21" i="4" s="1"/>
  <c r="N7" i="6"/>
  <c r="K11" i="4" s="1"/>
  <c r="N8" i="6"/>
  <c r="N12" i="6"/>
  <c r="N13" i="6" s="1"/>
  <c r="N14" i="6"/>
  <c r="N15" i="6" s="1"/>
  <c r="N18" i="6"/>
  <c r="N19" i="6" s="1"/>
  <c r="N22" i="6"/>
  <c r="N111" i="6" s="1"/>
  <c r="N28" i="6"/>
  <c r="N117" i="6" s="1"/>
  <c r="N30" i="6"/>
  <c r="N36" i="6"/>
  <c r="N39" i="6"/>
  <c r="N40" i="6"/>
  <c r="K10" i="4"/>
  <c r="K38" i="6"/>
  <c r="K42" i="6" s="1"/>
  <c r="K43" i="6" s="1"/>
  <c r="L37" i="6"/>
  <c r="M35" i="6"/>
  <c r="K24" i="6"/>
  <c r="H12" i="4"/>
  <c r="H15" i="4" s="1"/>
  <c r="M41" i="6"/>
  <c r="M9" i="6"/>
  <c r="M10" i="6"/>
  <c r="M20" i="6" s="1"/>
  <c r="M21" i="6" s="1"/>
  <c r="I5" i="7"/>
  <c r="I7" i="7" s="1"/>
  <c r="I8" i="7" s="1"/>
  <c r="M132" i="6" l="1"/>
  <c r="M133" i="6" s="1"/>
  <c r="M134" i="6"/>
  <c r="M125" i="6"/>
  <c r="M126" i="6"/>
  <c r="L121" i="6"/>
  <c r="L122" i="6" s="1"/>
  <c r="M113" i="6"/>
  <c r="L135" i="6"/>
  <c r="L79" i="6"/>
  <c r="L80" i="6" s="1"/>
  <c r="L112" i="6"/>
  <c r="J127" i="6"/>
  <c r="J128" i="6" s="1"/>
  <c r="M99" i="6"/>
  <c r="M100" i="6" s="1"/>
  <c r="M101" i="6" s="1"/>
  <c r="N98" i="6"/>
  <c r="N96" i="6"/>
  <c r="N97" i="6"/>
  <c r="N94" i="6"/>
  <c r="N95" i="6"/>
  <c r="N92" i="6"/>
  <c r="N93" i="6"/>
  <c r="M87" i="6"/>
  <c r="M88" i="6" s="1"/>
  <c r="M89" i="6" s="1"/>
  <c r="N85" i="6"/>
  <c r="N86" i="6"/>
  <c r="N83" i="6"/>
  <c r="N84" i="6"/>
  <c r="M78" i="6"/>
  <c r="N76" i="6"/>
  <c r="N77" i="6"/>
  <c r="N74" i="6"/>
  <c r="N75" i="6"/>
  <c r="N119" i="6" s="1"/>
  <c r="N72" i="6"/>
  <c r="N118" i="6" s="1"/>
  <c r="N73" i="6"/>
  <c r="L67" i="6"/>
  <c r="L68" i="6" s="1"/>
  <c r="L69" i="6" s="1"/>
  <c r="M65" i="6"/>
  <c r="M66" i="6"/>
  <c r="M63" i="6"/>
  <c r="M64" i="6"/>
  <c r="M120" i="6" s="1"/>
  <c r="M61" i="6"/>
  <c r="M62" i="6"/>
  <c r="M59" i="6"/>
  <c r="M60" i="6"/>
  <c r="N9" i="6"/>
  <c r="N10" i="6"/>
  <c r="N20" i="6" s="1"/>
  <c r="N21" i="6" s="1"/>
  <c r="I12" i="4"/>
  <c r="I15" i="4" s="1"/>
  <c r="L24" i="6"/>
  <c r="L25" i="6" s="1"/>
  <c r="N23" i="6"/>
  <c r="K14" i="4"/>
  <c r="K19" i="4" s="1"/>
  <c r="N29" i="6"/>
  <c r="K20" i="4"/>
  <c r="N31" i="6"/>
  <c r="N32" i="6"/>
  <c r="K21" i="4" s="1"/>
  <c r="L38" i="6"/>
  <c r="L42" i="6" s="1"/>
  <c r="L43" i="6" s="1"/>
  <c r="M37" i="6"/>
  <c r="N35" i="6"/>
  <c r="H13" i="4"/>
  <c r="K25" i="6"/>
  <c r="M11" i="6"/>
  <c r="N41" i="6"/>
  <c r="N125" i="6" l="1"/>
  <c r="N126" i="6"/>
  <c r="N132" i="6"/>
  <c r="N133" i="6" s="1"/>
  <c r="N134" i="6"/>
  <c r="N113" i="6"/>
  <c r="M135" i="6"/>
  <c r="M121" i="6"/>
  <c r="M122" i="6" s="1"/>
  <c r="M79" i="6"/>
  <c r="M80" i="6" s="1"/>
  <c r="M112" i="6"/>
  <c r="N99" i="6"/>
  <c r="N100" i="6" s="1"/>
  <c r="N101" i="6" s="1"/>
  <c r="N87" i="6"/>
  <c r="N88" i="6" s="1"/>
  <c r="N89" i="6" s="1"/>
  <c r="N78" i="6"/>
  <c r="M67" i="6"/>
  <c r="M68" i="6" s="1"/>
  <c r="M69" i="6" s="1"/>
  <c r="N66" i="6"/>
  <c r="N64" i="6"/>
  <c r="N65" i="6"/>
  <c r="N62" i="6"/>
  <c r="N63" i="6"/>
  <c r="N60" i="6"/>
  <c r="N61" i="6"/>
  <c r="N37" i="6"/>
  <c r="N38" i="6" s="1"/>
  <c r="N42" i="6" s="1"/>
  <c r="N43" i="6" s="1"/>
  <c r="N59" i="6"/>
  <c r="N11" i="6"/>
  <c r="I13" i="4"/>
  <c r="H16" i="4"/>
  <c r="H17" i="4" s="1"/>
  <c r="H23" i="4" s="1"/>
  <c r="H27" i="4" s="1"/>
  <c r="K26" i="6"/>
  <c r="K110" i="6" s="1"/>
  <c r="K114" i="6" s="1"/>
  <c r="K127" i="6" s="1"/>
  <c r="K128" i="6" s="1"/>
  <c r="M38" i="6"/>
  <c r="M42" i="6" s="1"/>
  <c r="M43" i="6" s="1"/>
  <c r="M24" i="6"/>
  <c r="J12" i="4"/>
  <c r="J15" i="4" s="1"/>
  <c r="I16" i="4"/>
  <c r="I17" i="4" s="1"/>
  <c r="I23" i="4" s="1"/>
  <c r="I27" i="4" s="1"/>
  <c r="L26" i="6"/>
  <c r="L110" i="6" s="1"/>
  <c r="L114" i="6" s="1"/>
  <c r="L127" i="6" s="1"/>
  <c r="L128" i="6" s="1"/>
  <c r="N135" i="6" l="1"/>
  <c r="N121" i="6"/>
  <c r="N120" i="6"/>
  <c r="N79" i="6"/>
  <c r="N80" i="6" s="1"/>
  <c r="N112" i="6"/>
  <c r="N67" i="6"/>
  <c r="N68" i="6" s="1"/>
  <c r="N69" i="6" s="1"/>
  <c r="N24" i="6"/>
  <c r="N25" i="6" s="1"/>
  <c r="K12" i="4"/>
  <c r="K15" i="4" s="1"/>
  <c r="K13" i="4"/>
  <c r="J13" i="4"/>
  <c r="M25" i="6"/>
  <c r="N122" i="6" l="1"/>
  <c r="K16" i="4"/>
  <c r="K17" i="4" s="1"/>
  <c r="K23" i="4" s="1"/>
  <c r="N26" i="6"/>
  <c r="N110" i="6" s="1"/>
  <c r="N114" i="6" s="1"/>
  <c r="J16" i="4"/>
  <c r="J17" i="4" s="1"/>
  <c r="J23" i="4" s="1"/>
  <c r="J27" i="4" s="1"/>
  <c r="M26" i="6"/>
  <c r="M110" i="6" s="1"/>
  <c r="M114" i="6" s="1"/>
  <c r="M127" i="6" s="1"/>
  <c r="M128" i="6" s="1"/>
  <c r="N127" i="6" l="1"/>
  <c r="N128" i="6" s="1"/>
  <c r="K27" i="4"/>
  <c r="L32" i="4"/>
  <c r="L35" i="4" s="1"/>
  <c r="L36" i="4" s="1"/>
  <c r="E32" i="4" s="1"/>
  <c r="E31" i="4" l="1"/>
  <c r="C7" i="9"/>
  <c r="G50" i="4" l="1"/>
  <c r="G49" i="4"/>
  <c r="F49" i="4"/>
  <c r="E49" i="4"/>
  <c r="D49" i="4"/>
  <c r="C8" i="9"/>
  <c r="H49" i="4"/>
  <c r="H50" i="4"/>
  <c r="E33" i="4"/>
  <c r="G48" i="4"/>
  <c r="H48" i="4"/>
  <c r="F50" i="4"/>
  <c r="E50" i="4"/>
  <c r="F48" i="4"/>
  <c r="E48" i="4"/>
  <c r="D50" i="4"/>
  <c r="D48" i="4"/>
  <c r="B7" i="9"/>
  <c r="D7" i="9" s="1"/>
  <c r="F7" i="9" s="1"/>
  <c r="F43" i="4" l="1"/>
  <c r="E43" i="4"/>
  <c r="D43" i="4"/>
  <c r="F42" i="4"/>
  <c r="E42" i="4"/>
  <c r="D42" i="4"/>
  <c r="C9" i="9"/>
  <c r="E37" i="4"/>
  <c r="C10" i="9" s="1"/>
  <c r="B8" i="9"/>
  <c r="D8" i="9" s="1"/>
  <c r="F8" i="9" s="1"/>
  <c r="L37" i="4"/>
  <c r="C8" i="3" l="1"/>
  <c r="E8" i="3" s="1"/>
  <c r="E12" i="3" s="1"/>
  <c r="B9" i="9"/>
  <c r="D9" i="9" s="1"/>
  <c r="F9" i="9" s="1"/>
  <c r="E39" i="4"/>
  <c r="B11" i="10" l="1"/>
  <c r="B10" i="9"/>
  <c r="D10" i="9" s="1"/>
  <c r="F10" i="9" s="1"/>
  <c r="B11" i="9" s="1"/>
  <c r="E14" i="3"/>
  <c r="C11" i="10" s="1"/>
  <c r="F11" i="9" l="1"/>
  <c r="D11" i="9"/>
</calcChain>
</file>

<file path=xl/sharedStrings.xml><?xml version="1.0" encoding="utf-8"?>
<sst xmlns="http://schemas.openxmlformats.org/spreadsheetml/2006/main" count="655" uniqueCount="437">
  <si>
    <t>Crizac Limited - DCF Valuation Model</t>
  </si>
  <si>
    <t>Blue/yellow cells are editable inputs. Figures in INR crore unless stated otherwise.</t>
  </si>
  <si>
    <t>Company Name</t>
  </si>
  <si>
    <t>Crizac Limited</t>
  </si>
  <si>
    <t>Draft/Final</t>
  </si>
  <si>
    <t>Draft</t>
  </si>
  <si>
    <t>Valuation Date</t>
  </si>
  <si>
    <t>Next FY end date</t>
  </si>
  <si>
    <t>Previous FY end date</t>
  </si>
  <si>
    <t>Currency and Units</t>
  </si>
  <si>
    <t>Figures in INR Crore</t>
  </si>
  <si>
    <t>Tax Rate</t>
  </si>
  <si>
    <t>Valuation For</t>
  </si>
  <si>
    <t>Business Valuation</t>
  </si>
  <si>
    <t>Projection Period (Years)</t>
  </si>
  <si>
    <t>Terminal Period Growth Rate</t>
  </si>
  <si>
    <t>WACC</t>
  </si>
  <si>
    <t>Months till NFY</t>
  </si>
  <si>
    <t>Cost of Capital Components</t>
  </si>
  <si>
    <t>Component</t>
  </si>
  <si>
    <t>Value</t>
  </si>
  <si>
    <t>Notes</t>
  </si>
  <si>
    <t>Risk-free rate</t>
  </si>
  <si>
    <t>Equity Risk Premium</t>
  </si>
  <si>
    <t>Relevered Beta</t>
  </si>
  <si>
    <t>Sector beta placeholder</t>
  </si>
  <si>
    <t>Company Specific Premium</t>
  </si>
  <si>
    <t>Pre-tax Cost of Debt</t>
  </si>
  <si>
    <t>Target Debt Weight</t>
  </si>
  <si>
    <t>Tax Shield Rate</t>
  </si>
  <si>
    <t>Cost of Equity</t>
  </si>
  <si>
    <t>Rf + Beta x ERP + CSP</t>
  </si>
  <si>
    <t>After-tax Cost of Debt</t>
  </si>
  <si>
    <t>Forecast Operating Assumptions</t>
  </si>
  <si>
    <t>Particulars</t>
  </si>
  <si>
    <t>FY2027E</t>
  </si>
  <si>
    <t>FY2028E</t>
  </si>
  <si>
    <t>FY2029E</t>
  </si>
  <si>
    <t>FY2030E</t>
  </si>
  <si>
    <t>FY2031E</t>
  </si>
  <si>
    <t>FY2032E</t>
  </si>
  <si>
    <t>FY2033E</t>
  </si>
  <si>
    <t>Revenue Growth</t>
  </si>
  <si>
    <t>D&amp;A % of Revenue</t>
  </si>
  <si>
    <t>Capex % of Revenue</t>
  </si>
  <si>
    <t>Target NWC % of Revenue</t>
  </si>
  <si>
    <t>Equity Bridge Inputs</t>
  </si>
  <si>
    <t>Cash and cash equivalents</t>
  </si>
  <si>
    <t>Other bank balances / surplus cash</t>
  </si>
  <si>
    <t>Investments</t>
  </si>
  <si>
    <t>Gross debt</t>
  </si>
  <si>
    <t>Shares outstanding (crore)</t>
  </si>
  <si>
    <t>Unit</t>
  </si>
  <si>
    <t>FY2022A</t>
  </si>
  <si>
    <t>FY2023A</t>
  </si>
  <si>
    <t>FY2024A</t>
  </si>
  <si>
    <t>FY2025A</t>
  </si>
  <si>
    <t>FY2026A</t>
  </si>
  <si>
    <t>Revenue from operations</t>
  </si>
  <si>
    <t>YoY revenue growth</t>
  </si>
  <si>
    <t>%</t>
  </si>
  <si>
    <t>EBITDA</t>
  </si>
  <si>
    <t>EBITDA margin</t>
  </si>
  <si>
    <t>Depreciation &amp; amortisation</t>
  </si>
  <si>
    <t>D&amp;A % of revenue</t>
  </si>
  <si>
    <t>EBIT</t>
  </si>
  <si>
    <t>Tax on EBIT</t>
  </si>
  <si>
    <t>NOPAT</t>
  </si>
  <si>
    <t>Capital expenditure</t>
  </si>
  <si>
    <t>Capex % of revenue</t>
  </si>
  <si>
    <t>Net working capital</t>
  </si>
  <si>
    <t>NWC % of revenue</t>
  </si>
  <si>
    <t>Change in NWC</t>
  </si>
  <si>
    <t>Estimate of Discount Rate</t>
  </si>
  <si>
    <t>Cost of Equity Assumptions</t>
  </si>
  <si>
    <t>Source / Notes</t>
  </si>
  <si>
    <t>India sovereign curve / CCIL reference</t>
  </si>
  <si>
    <t>Editable market premium</t>
  </si>
  <si>
    <t>WACC Calculation</t>
  </si>
  <si>
    <t>Formula / Note</t>
  </si>
  <si>
    <t>Equity Weight</t>
  </si>
  <si>
    <t>1 - debt weight</t>
  </si>
  <si>
    <t>Debt Weight</t>
  </si>
  <si>
    <t>Target capital structure input</t>
  </si>
  <si>
    <t>From CAPM build-up</t>
  </si>
  <si>
    <t>Editable input</t>
  </si>
  <si>
    <t>Input tax rate</t>
  </si>
  <si>
    <t>Kd x (1 - tax)</t>
  </si>
  <si>
    <t>Weighted cost of capital</t>
  </si>
  <si>
    <t>Final WACC Used in DCF</t>
  </si>
  <si>
    <t>Working Capital Movement</t>
  </si>
  <si>
    <t>Source</t>
  </si>
  <si>
    <t>Revenue</t>
  </si>
  <si>
    <t>Net Working Capital</t>
  </si>
  <si>
    <t>Increase/(Decrease) in NWC</t>
  </si>
  <si>
    <t>Financial workbook / forecast inputs</t>
  </si>
  <si>
    <t>FY2026 NWC days and target input</t>
  </si>
  <si>
    <t>Revenue x NWC %</t>
  </si>
  <si>
    <t>Year-on-year change</t>
  </si>
  <si>
    <t>Discounted Cash Flow Analysis</t>
  </si>
  <si>
    <t>Projection Period</t>
  </si>
  <si>
    <t>Terminal Year</t>
  </si>
  <si>
    <t>Free Cash Flows</t>
  </si>
  <si>
    <t>Less: Increase/(Decrease) in WC</t>
  </si>
  <si>
    <t>Less: Capital Expenditure</t>
  </si>
  <si>
    <t>Plus: D&amp;A</t>
  </si>
  <si>
    <t>Taxes on EBIT</t>
  </si>
  <si>
    <t xml:space="preserve"> % growth</t>
  </si>
  <si>
    <t>Present Value of Free Cash Flows</t>
  </si>
  <si>
    <t>Discount Factor</t>
  </si>
  <si>
    <t>Discount Period</t>
  </si>
  <si>
    <t>Implied Equity Value</t>
  </si>
  <si>
    <t>Terminal Value Assumptions</t>
  </si>
  <si>
    <t>Cumulative Present value of free cash flows</t>
  </si>
  <si>
    <t>Present Value of Terminal Value</t>
  </si>
  <si>
    <t>Implied Enterprise Value</t>
  </si>
  <si>
    <t>Add: Cash and cash equivalents</t>
  </si>
  <si>
    <t>Add: Other bank balances and investments</t>
  </si>
  <si>
    <t>Less: Gross debt</t>
  </si>
  <si>
    <t>Outstanding Shares (crore)</t>
  </si>
  <si>
    <t>Implied Value per Share</t>
  </si>
  <si>
    <t>Terminal Model</t>
  </si>
  <si>
    <t>Gordon Growth</t>
  </si>
  <si>
    <t>Terminal FCF</t>
  </si>
  <si>
    <t>Terminal Growth Rate</t>
  </si>
  <si>
    <t>Terminal Value</t>
  </si>
  <si>
    <t>PV of Terminal Value</t>
  </si>
  <si>
    <t>Terminal Value as % of EV</t>
  </si>
  <si>
    <t>Sensitivity: Value per Share</t>
  </si>
  <si>
    <t>Valuation Conclusion</t>
  </si>
  <si>
    <t>Weight</t>
  </si>
  <si>
    <t>Weighted Value</t>
  </si>
  <si>
    <t>Discounted Cash Flow Method</t>
  </si>
  <si>
    <t>Comparable Companies Multiple Method</t>
  </si>
  <si>
    <t>Comparable Transaction Method</t>
  </si>
  <si>
    <t>Price of Recent Investment Method</t>
  </si>
  <si>
    <t>Concluded Equity Value</t>
  </si>
  <si>
    <t>Value per Share</t>
  </si>
  <si>
    <t>Key Assumptions</t>
  </si>
  <si>
    <t>Terminal Growth</t>
  </si>
  <si>
    <t>Crizac Limited - DCF Model Table of Contents</t>
  </si>
  <si>
    <t>Tab</t>
  </si>
  <si>
    <t>Purpose</t>
  </si>
  <si>
    <t>Status</t>
  </si>
  <si>
    <t>Inputs</t>
  </si>
  <si>
    <t>Editable</t>
  </si>
  <si>
    <t>Conclusion</t>
  </si>
  <si>
    <t>Valuation summary and value per share</t>
  </si>
  <si>
    <t>Output</t>
  </si>
  <si>
    <t>DCF</t>
  </si>
  <si>
    <t>7-year discounted cash flow valuation</t>
  </si>
  <si>
    <t>Cost of equity, debt and WACC build-up</t>
  </si>
  <si>
    <t>Calculation</t>
  </si>
  <si>
    <t>PL&amp;BS</t>
  </si>
  <si>
    <t>WC Movement</t>
  </si>
  <si>
    <t>Working capital bridge</t>
  </si>
  <si>
    <t>Support</t>
  </si>
  <si>
    <t>Sources</t>
  </si>
  <si>
    <t>Source files and assumption references</t>
  </si>
  <si>
    <t>Audit</t>
  </si>
  <si>
    <t>Checks</t>
  </si>
  <si>
    <t>Model integrity checks</t>
  </si>
  <si>
    <t>Sources and Audit Notes</t>
  </si>
  <si>
    <t>Source ID</t>
  </si>
  <si>
    <t>Source / URL</t>
  </si>
  <si>
    <t>Section / Page</t>
  </si>
  <si>
    <t>Used For</t>
  </si>
  <si>
    <t>S1</t>
  </si>
  <si>
    <t>outputs/Crizac_Financial_Analysis_5yr/1. crizac_financial_statement_crore_fy2026_analysis.xlsx</t>
  </si>
  <si>
    <t>Financial Summary; IS; BS; CFS</t>
  </si>
  <si>
    <t>Historical financials and FY2026 base</t>
  </si>
  <si>
    <t>Compiled from DRHP.pdf, Q4 FS.pdf and IP Q4.pdf.</t>
  </si>
  <si>
    <t>S2</t>
  </si>
  <si>
    <t>DRHP.pdf</t>
  </si>
  <si>
    <t>Restated financial information</t>
  </si>
  <si>
    <t>Historical context</t>
  </si>
  <si>
    <t>Local source file.</t>
  </si>
  <si>
    <t>S3</t>
  </si>
  <si>
    <t>Quarter Report/Q4 FS.pdf</t>
  </si>
  <si>
    <t>Audited FY2026 results</t>
  </si>
  <si>
    <t>FY2026 P&amp;L, balance sheet, cash flow</t>
  </si>
  <si>
    <t>S4</t>
  </si>
  <si>
    <t>Quarter Report/IP Q4.pdf</t>
  </si>
  <si>
    <t>Investor presentation / KPI pages</t>
  </si>
  <si>
    <t>Operational context and NWC days</t>
  </si>
  <si>
    <t>S5</t>
  </si>
  <si>
    <t>https://www.ccilindia.com/RiskManagement/SecuritiesSegment/Pages/ZCYC.aspx</t>
  </si>
  <si>
    <t>Zero Coupon Yield Curve</t>
  </si>
  <si>
    <t>Risk-free rate reference</t>
  </si>
  <si>
    <t>Refresh before final use.</t>
  </si>
  <si>
    <t>S6</t>
  </si>
  <si>
    <t>https://pages.stern.nyu.edu/~adamodar/New_Home_Page/data.html</t>
  </si>
  <si>
    <t>Damodaran data library</t>
  </si>
  <si>
    <t>ERP / country risk reference</t>
  </si>
  <si>
    <t>ERP default remains editable.</t>
  </si>
  <si>
    <t>S7</t>
  </si>
  <si>
    <t>Analyst assumptions</t>
  </si>
  <si>
    <t>Inputs tab</t>
  </si>
  <si>
    <t>Forecast and terminal assumptions</t>
  </si>
  <si>
    <t>Review before publication.</t>
  </si>
  <si>
    <t>Model Checks</t>
  </si>
  <si>
    <t>Check</t>
  </si>
  <si>
    <t>Actual</t>
  </si>
  <si>
    <t>Expected</t>
  </si>
  <si>
    <t>Difference</t>
  </si>
  <si>
    <t>Tolerance</t>
  </si>
  <si>
    <t>Forecast period count</t>
  </si>
  <si>
    <t>Must equal 7 years.</t>
  </si>
  <si>
    <t>Terminal spread positive</t>
  </si>
  <si>
    <t>WACC must exceed terminal growth.</t>
  </si>
  <si>
    <t>PV FCF tie-out</t>
  </si>
  <si>
    <t>Forecast FCF PV ties to DCF row.</t>
  </si>
  <si>
    <t>Enterprise value tie-out</t>
  </si>
  <si>
    <t>EV equals PV FCF plus PV TV.</t>
  </si>
  <si>
    <t>Equity value bridge</t>
  </si>
  <si>
    <t>Equity bridge tie-out.</t>
  </si>
  <si>
    <t>Conclusion tie-out</t>
  </si>
  <si>
    <t>Conclusion ties to DCF.</t>
  </si>
  <si>
    <t>Overall model status</t>
  </si>
  <si>
    <t>All key checks should pass.</t>
  </si>
  <si>
    <t>CRIZAC LIMITED</t>
  </si>
  <si>
    <t>Discounted Cash Flow Valuation Model</t>
  </si>
  <si>
    <t>Prepared By CA Padarabind Pradhan, Research Analyst.</t>
  </si>
  <si>
    <t>Professional valuation workbook with live formulas, source references, and editable assumptions.</t>
  </si>
  <si>
    <t>Equity Value</t>
  </si>
  <si>
    <t>Value / Share</t>
  </si>
  <si>
    <t>Model Notes</t>
  </si>
  <si>
    <t>Purpose: Equity research DCF valuation model for Crizac Limited.</t>
  </si>
  <si>
    <t>Forecast horizon: 7 years with Gordon Growth terminal value.</t>
  </si>
  <si>
    <t>Editable assumptions: Inputs tab, highlighted in yellow with blue font.</t>
  </si>
  <si>
    <t>Source base: Existing Crizac financial workbook, DRHP, Q4 FY2026 results and investor presentation.</t>
  </si>
  <si>
    <t>Model status: Checks tab should read OK before use.</t>
  </si>
  <si>
    <t>Color Legend</t>
  </si>
  <si>
    <t>Input</t>
  </si>
  <si>
    <t>Editable assumption</t>
  </si>
  <si>
    <t>Formula</t>
  </si>
  <si>
    <t>Calculated value</t>
  </si>
  <si>
    <t>Internal Link</t>
  </si>
  <si>
    <t>Workbook reference</t>
  </si>
  <si>
    <t>For research and educational use. Refresh market assumptions before investment use.</t>
  </si>
  <si>
    <t>Prepared By</t>
  </si>
  <si>
    <t>Cover, authorship and model summary</t>
  </si>
  <si>
    <t>Cover</t>
  </si>
  <si>
    <t>Editable model assumptions, terminal growth and WACC components</t>
  </si>
  <si>
    <t>Gross Profit Margin</t>
  </si>
  <si>
    <t>Employee Benefit Expenses % Revenue</t>
  </si>
  <si>
    <t>Other Expenses % Revenue</t>
  </si>
  <si>
    <t>EBITDA Margin (derived)</t>
  </si>
  <si>
    <t>Crizac Limited - P&amp;L and Broad Balance Sheet Schedule</t>
  </si>
  <si>
    <t>Historical values sourced from existing Crizac financial workbook; forecast formulas link to the Inputs tab.</t>
  </si>
  <si>
    <t>Profit &amp; Loss</t>
  </si>
  <si>
    <t>Cash Flow Support</t>
  </si>
  <si>
    <t>Balance Sheet - Broad Line Items</t>
  </si>
  <si>
    <t>Net Debt &amp; Share Count</t>
  </si>
  <si>
    <t>Modeling Notes</t>
  </si>
  <si>
    <t>Cost of services</t>
  </si>
  <si>
    <t>Cost of services / revenue</t>
  </si>
  <si>
    <t>Gross Profit</t>
  </si>
  <si>
    <t>Employee Benefit Expenses</t>
  </si>
  <si>
    <t>Employee Benefit % Revenue</t>
  </si>
  <si>
    <t>Other Expenses</t>
  </si>
  <si>
    <t>Total non-current assets</t>
  </si>
  <si>
    <t>Total current assets</t>
  </si>
  <si>
    <t>Total assets</t>
  </si>
  <si>
    <t>Total equity (implied)</t>
  </si>
  <si>
    <t>Total non-current liabilities</t>
  </si>
  <si>
    <t>Total current liabilities</t>
  </si>
  <si>
    <t>Total liabilities</t>
  </si>
  <si>
    <t>Total equity and liabilities</t>
  </si>
  <si>
    <t>Balance sheet check</t>
  </si>
  <si>
    <t>Broad balance sheet forecast note</t>
  </si>
  <si>
    <t>INR Cr</t>
  </si>
  <si>
    <t>Crore</t>
  </si>
  <si>
    <t>Note</t>
  </si>
  <si>
    <t>Forecast balance sheet lines are high-level roll-forward / ratio-based estimates and are intended as broad schedule support, not a full integrated three-statement balance sheet.</t>
  </si>
  <si>
    <t>P&amp;L bridge, broad balance sheet line items and forecast driver schedule</t>
  </si>
  <si>
    <t>Modeling Note</t>
  </si>
  <si>
    <t>Marketing expenses are not separately disclosed historically; historical marketing is shown as nil with residual operating costs in Other Expenses.</t>
  </si>
  <si>
    <t>Broad balance sheet forecast is high-level and ratio/roll-forward based; DCF remains driven by operating FCF assumptions.</t>
  </si>
  <si>
    <t>Reason</t>
  </si>
  <si>
    <t>Company identifier used across valuation outputs.</t>
  </si>
  <si>
    <t>Draft status indicates assumptions remain editable pending final review.</t>
  </si>
  <si>
    <t>Valuation date drives discounting and market reference timing.</t>
  </si>
  <si>
    <t>Defines the first projection fiscal year end for the DCF horizon.</t>
  </si>
  <si>
    <t>Anchors historical financials and opening balance sheet inputs.</t>
  </si>
  <si>
    <t>Keeps all model outputs in a consistent reporting unit.</t>
  </si>
  <si>
    <t>Effective tax rate used for FCFF taxes and the WACC tax shield.</t>
  </si>
  <si>
    <t>Model prepared on a business valuation basis.</t>
  </si>
  <si>
    <t>Seven-year explicit forecast balances visibility with terminal normalization.</t>
  </si>
  <si>
    <t>Terminal growth set below WACC and aligned with mature nominal growth.</t>
  </si>
  <si>
    <t>Linked to the WACC build-up on the WACC sheet.</t>
  </si>
  <si>
    <t>Assumes a full next fiscal year for discounting from the valuation date.</t>
  </si>
  <si>
    <t>Based on prevailing India 10Y government yield as the INR sovereign base rate.</t>
  </si>
  <si>
    <t>Reflects a long-term Indian equity market risk premium assumption.</t>
  </si>
  <si>
    <t>Uses a neutral sector beta pending a refined pure-play peer set.</t>
  </si>
  <si>
    <t>Adds company-specific execution, concentration and regulatory risk overlay.</t>
  </si>
  <si>
    <t>Reflects estimated marginal borrowing cost for a low-debt business.</t>
  </si>
  <si>
    <t>Set to nil because borrowings are immaterial in the current capital structure.</t>
  </si>
  <si>
    <t>Linked to the effective tax rate assumption.</t>
  </si>
  <si>
    <t>Computed from risk-free rate, beta, ERP and company-specific premium.</t>
  </si>
  <si>
    <t>Applies the tax shield to pre-tax debt cost.</t>
  </si>
  <si>
    <t>Blends equity and debt costs using the target capital structure.</t>
  </si>
  <si>
    <t>Growth tapers from near-term momentum to a mature terminal profile.</t>
  </si>
  <si>
    <t>Margin held steady pending evidence of structural mix or pricing change.</t>
  </si>
  <si>
    <t>Employee cost ratio held stable as scale benefits offset hiring needs.</t>
  </si>
  <si>
    <t>Other operating cost ratio held stable to maintain normalized EBITDA profile.</t>
  </si>
  <si>
    <t>Derived from gross margin less employee, marketing and other expense ratios.</t>
  </si>
  <si>
    <t>D&amp;A ratio held stable, consistent with an asset-light reinvestment profile.</t>
  </si>
  <si>
    <t>Capex ratio assumes maintenance and technology reinvestment needs.</t>
  </si>
  <si>
    <t>NWC set at 1.0% of revenue, reflecting light working-capital intensity.</t>
  </si>
  <si>
    <t>Added to enterprise value as non-operating cash available to equity holders.</t>
  </si>
  <si>
    <t>Added as surplus liquidity outside operating cash needs.</t>
  </si>
  <si>
    <t>Added as non-core financial assets.</t>
  </si>
  <si>
    <t>Deducted from enterprise value to arrive at equity value.</t>
  </si>
  <si>
    <t>Used to convert total equity value into value per share.</t>
  </si>
  <si>
    <t>Advertisement &amp; Marketing Expenses % Revenue</t>
  </si>
  <si>
    <t>Advertising and marketing ratio kept separate from residual other expenses.</t>
  </si>
  <si>
    <t>Research &amp; Development Expenses % Revenue</t>
  </si>
  <si>
    <t>No separate R&amp;D expense disclosure identified; set to nil until reported or budgeted.</t>
  </si>
  <si>
    <t>Advertisement &amp; Marketing Expenses</t>
  </si>
  <si>
    <t>Advertisement &amp; Marketing % Revenue</t>
  </si>
  <si>
    <t>Research &amp; Development Expenses</t>
  </si>
  <si>
    <t>Research &amp; Development % Revenue</t>
  </si>
  <si>
    <t>Advertisement/marketing and R&amp;D expense note</t>
  </si>
  <si>
    <t>Historical advertisement and sales promotion costs are shown separately where disclosed in the DRHP expense note; residual operating cost is retained in Other Expenses so EBITDA remains unchanged. No separate R&amp;D expense disclosure was identified, so R&amp;D is shown as nil until reported or budgeted.</t>
  </si>
  <si>
    <t>Balance Sheet Bifurcation - Detailed Line Items</t>
  </si>
  <si>
    <t>Projection basis</t>
  </si>
  <si>
    <t>Non-current assets</t>
  </si>
  <si>
    <t>Property, plant and equipment</t>
  </si>
  <si>
    <t>Forecast as FY2026 mix of total non-current assets.</t>
  </si>
  <si>
    <t>Investment property</t>
  </si>
  <si>
    <t>Goodwill</t>
  </si>
  <si>
    <t>Intangible assets</t>
  </si>
  <si>
    <t>Right-of-use assets</t>
  </si>
  <si>
    <t>Non-current investments</t>
  </si>
  <si>
    <t>Other non-current financial assets</t>
  </si>
  <si>
    <t>Income tax assets, net</t>
  </si>
  <si>
    <t>Other non-current assets</t>
  </si>
  <si>
    <t>Residual line to tie projected total non-current assets exactly.</t>
  </si>
  <si>
    <t>Total non-current assets - bifurcated</t>
  </si>
  <si>
    <t>Sums detailed non-current asset lines and ties to row 35.</t>
  </si>
  <si>
    <t>Check: NCA bifurcation vs broad total</t>
  </si>
  <si>
    <t>Check against existing broad total row; should be nil.</t>
  </si>
  <si>
    <t>Current assets</t>
  </si>
  <si>
    <t>Current investments</t>
  </si>
  <si>
    <t>No current investments in FY2026; forecast as FY2026 mix of total current assets.</t>
  </si>
  <si>
    <t>Trade receivables</t>
  </si>
  <si>
    <t>Forecast as FY2026 mix of total current assets.</t>
  </si>
  <si>
    <t>Forecast as FY2026 mix of total current assets for balance-sheet support.</t>
  </si>
  <si>
    <t>Other bank balances</t>
  </si>
  <si>
    <t>Other financial assets</t>
  </si>
  <si>
    <t>Current tax assets, net</t>
  </si>
  <si>
    <t>FY2026 tax asset shown in non-current assets; forecast as FY2026 mix.</t>
  </si>
  <si>
    <t>Other current assets</t>
  </si>
  <si>
    <t>Residual line to tie projected total current assets exactly.</t>
  </si>
  <si>
    <t>Total current assets - bifurcated</t>
  </si>
  <si>
    <t>Sums detailed current asset lines and ties to row 36.</t>
  </si>
  <si>
    <t>Check: CA bifurcation vs broad total</t>
  </si>
  <si>
    <t>Non-current liabilities</t>
  </si>
  <si>
    <t>Borrowings</t>
  </si>
  <si>
    <t>Forecast as FY2026 mix of total non-current liabilities.</t>
  </si>
  <si>
    <t>Lease liabilities</t>
  </si>
  <si>
    <t>Provisions</t>
  </si>
  <si>
    <t>Deferred tax liabilities, net</t>
  </si>
  <si>
    <t>Other non-current liabilities</t>
  </si>
  <si>
    <t>Residual line to tie projected total non-current liabilities exactly.</t>
  </si>
  <si>
    <t>Total non-current liabilities - bifurcated</t>
  </si>
  <si>
    <t>Sums detailed non-current liability lines and ties to row 39.</t>
  </si>
  <si>
    <t>Check: NCL bifurcation vs broad total</t>
  </si>
  <si>
    <t>Current liabilities</t>
  </si>
  <si>
    <t>Forecast as FY2026 mix of total current liabilities.</t>
  </si>
  <si>
    <t>No material FY2026 balance; forecast as FY2026 mix.</t>
  </si>
  <si>
    <t>Trade payables - MSME</t>
  </si>
  <si>
    <t>No disclosed FY2026 MSME payable balance; forecast as FY2026 mix.</t>
  </si>
  <si>
    <t>Trade payables - other creditors</t>
  </si>
  <si>
    <t>Other financial liabilities</t>
  </si>
  <si>
    <t>Other current liabilities</t>
  </si>
  <si>
    <t>Current tax liabilities, net</t>
  </si>
  <si>
    <t>Residual line to tie projected total current liabilities exactly.</t>
  </si>
  <si>
    <t>Total current liabilities - bifurcated</t>
  </si>
  <si>
    <t>Sums detailed current liability lines and ties to row 40.</t>
  </si>
  <si>
    <t>Check: CL bifurcation vs broad total</t>
  </si>
  <si>
    <t>Bifurcation projection note</t>
  </si>
  <si>
    <t>Historical detailed balance-sheet rows are sourced from the local financial-statement model. Forecast sub-lines use FY2026 mix within each existing broad balance-sheet bucket, with residual lines forcing exact tie-back to the existing total rows so the valuation model remains unchanged.</t>
  </si>
  <si>
    <t>Cash Flow Statement - Based on PL&amp;BS Bifurcation</t>
  </si>
  <si>
    <t>Basis</t>
  </si>
  <si>
    <t>Cash Flow from Operating Activities</t>
  </si>
  <si>
    <t>Linked to P&amp;L NOPAT row.</t>
  </si>
  <si>
    <t>Add: Depreciation &amp; amortisation</t>
  </si>
  <si>
    <t>Linked to P&amp;L D&amp;A row.</t>
  </si>
  <si>
    <t>Less/(Add): Change in operating current assets</t>
  </si>
  <si>
    <t>Uses trade receivables, other financial assets and other current assets from the bifurcation.</t>
  </si>
  <si>
    <t>Add/(Less): Change in operating current liabilities</t>
  </si>
  <si>
    <t>Uses trade payables, other financial liabilities, other current liabilities and provisions from the bifurcation.</t>
  </si>
  <si>
    <t>Net cash flow from operating activities</t>
  </si>
  <si>
    <t>NOPAT plus D&amp;A and detailed operating working-capital movement.</t>
  </si>
  <si>
    <t>Cash Flow from Investing Activities</t>
  </si>
  <si>
    <t>Linked to existing capex row; shown as cash outflow.</t>
  </si>
  <si>
    <t>Purchase/(sale) of current investments</t>
  </si>
  <si>
    <t>Based on movement in current investments from the bifurcation.</t>
  </si>
  <si>
    <t>Change in other bank balances</t>
  </si>
  <si>
    <t>Based on movement in surplus bank balances from the bifurcation.</t>
  </si>
  <si>
    <t>Change in non-current investments / financial assets</t>
  </si>
  <si>
    <t>Based on movement in non-current investments and other non-current financial assets.</t>
  </si>
  <si>
    <t>Investment property / goodwill movement</t>
  </si>
  <si>
    <t>Based on movement in investment property and goodwill.</t>
  </si>
  <si>
    <t>Net cash flow from investing activities</t>
  </si>
  <si>
    <t>Sum of investing activity rows.</t>
  </si>
  <si>
    <t>Cash Flow from Financing Activities</t>
  </si>
  <si>
    <t>Change in borrowings</t>
  </si>
  <si>
    <t>Based on current and non-current borrowings movement.</t>
  </si>
  <si>
    <t>Change in lease liabilities</t>
  </si>
  <si>
    <t>Based on current and non-current lease liability movement.</t>
  </si>
  <si>
    <t>Equity movement / dividends / other financing</t>
  </si>
  <si>
    <t>Balancing financing movement required to reconcile to projected cash; captures dividends, equity changes, acquisitions and other financing not separately modelled.</t>
  </si>
  <si>
    <t>Net cash flow from financing activities</t>
  </si>
  <si>
    <t>Sum of financing activity rows.</t>
  </si>
  <si>
    <t>Cash Reconciliation</t>
  </si>
  <si>
    <t>Opening cash and cash equivalents</t>
  </si>
  <si>
    <t>Prior-period cash balance from bifurcated cash line.</t>
  </si>
  <si>
    <t>Net increase/(decrease) in cash</t>
  </si>
  <si>
    <t>Closing cash less opening cash.</t>
  </si>
  <si>
    <t>Closing cash and cash equivalents</t>
  </si>
  <si>
    <t>Opening cash plus net cash movement.</t>
  </si>
  <si>
    <t>Closing cash per bifurcated balance sheet</t>
  </si>
  <si>
    <t>Linked to cash and cash equivalents in the bifurcation.</t>
  </si>
  <si>
    <t>Cash flow statement check</t>
  </si>
  <si>
    <t>Closing cash from statement less bifurcated balance-sheet cash; should be nil.</t>
  </si>
  <si>
    <t>Ok</t>
  </si>
  <si>
    <t>The Crizac-specific risks like UK
  concentration, visa/policy risk, execution risk and regulatory exposure</t>
  </si>
  <si>
    <t>https://economictimes.indiatimes.com/markets/stocks/news/aswath-damodaran-flags-rise-in-global-risk-premiums-after-u-s-treasury-downgrade/articleshow/123045721.cms</t>
  </si>
  <si>
    <t>Trailing Multiple</t>
  </si>
  <si>
    <t>EV/EBITDA</t>
  </si>
  <si>
    <t>EV/Revenue</t>
  </si>
  <si>
    <t>FY24</t>
  </si>
  <si>
    <t>FY25</t>
  </si>
  <si>
    <t>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</si>
</sst>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dd/mmm/yyyy"/>
    <numFmt numFmtId="165" formatCode="0.0%"/>
    <numFmt numFmtId="166" formatCode="0.0"/>
    <numFmt numFmtId="167" formatCode="0.00\x"/>
    <numFmt numFmtId="168" formatCode="#,##0.0"/>
    <numFmt numFmtId="169" formatCode="#,##0.0;[Red]\(#,##0.0\);\-"/>
    <numFmt numFmtId="170" formatCode="0.0%;[Red]\(0.0%\);\-"/>
    <numFmt numFmtId="171" formatCode="yyyy&quot;E&quot;"/>
    <numFmt numFmtId="172" formatCode="#,##0.00;[Red]\(#,##0.00\);\-"/>
    <numFmt numFmtId="173" formatCode="#,##0.0;\(#,##0.0\);\-"/>
    <numFmt numFmtId="174" formatCode="0.0%;\(0.0%\);\-"/>
    <numFmt numFmtId="175" formatCode="0.0;[Red]\(0.0\);\-"/>
  </numFmts>
  <fonts count="25" x14ac:knownFonts="1">
    <font>
      <sz val="9"/>
      <color theme="1"/>
      <name val="Calibri"/>
      <family val="2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sz val="10"/>
      <color rgb="FFFFFFFF"/>
      <name val="Aptos"/>
      <family val="2"/>
    </font>
    <font>
      <b/>
      <sz val="10"/>
      <color rgb="FF0F2A4A"/>
      <name val="Aptos"/>
      <family val="2"/>
    </font>
    <font>
      <i/>
      <sz val="10"/>
      <color rgb="FF5A6473"/>
      <name val="Aptos"/>
      <family val="2"/>
    </font>
    <font>
      <b/>
      <sz val="10"/>
      <color theme="1"/>
      <name val="Aptos"/>
      <family val="2"/>
    </font>
    <font>
      <sz val="10"/>
      <color rgb="FF0000FF"/>
      <name val="Aptos"/>
      <family val="2"/>
    </font>
    <font>
      <sz val="10"/>
      <color rgb="FF000000"/>
      <name val="Aptos"/>
      <family val="2"/>
    </font>
    <font>
      <sz val="10"/>
      <color rgb="FF008000"/>
      <name val="Aptos"/>
      <family val="2"/>
    </font>
    <font>
      <u/>
      <sz val="9"/>
      <color theme="10"/>
      <name val="Calibri"/>
      <family val="2"/>
    </font>
    <font>
      <b/>
      <sz val="10"/>
      <color rgb="FF162233"/>
      <name val="Aptos"/>
      <family val="2"/>
    </font>
    <font>
      <b/>
      <u/>
      <sz val="10"/>
      <color rgb="FF006B6B"/>
      <name val="Aptos"/>
      <family val="2"/>
    </font>
    <font>
      <i/>
      <sz val="10"/>
      <color rgb="FF162233"/>
      <name val="Aptos"/>
      <family val="2"/>
    </font>
    <font>
      <sz val="10"/>
      <color rgb="FF162233"/>
      <name val="Aptos"/>
      <family val="2"/>
    </font>
    <font>
      <b/>
      <sz val="10"/>
      <color rgb="FF008000"/>
      <name val="Aptos"/>
      <family val="2"/>
    </font>
    <font>
      <b/>
      <sz val="10"/>
      <color rgb="FF000000"/>
      <name val="Aptos"/>
      <family val="2"/>
    </font>
    <font>
      <sz val="10"/>
      <color rgb="FF563D7C"/>
      <name val="Aptos"/>
      <family val="2"/>
    </font>
    <font>
      <sz val="9"/>
      <color theme="1"/>
      <name val="Calibri"/>
      <family val="2"/>
    </font>
    <font>
      <i/>
      <sz val="10"/>
      <color theme="1"/>
      <name val="Aptos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F2A4A"/>
        <bgColor indexed="64"/>
      </patternFill>
    </fill>
    <fill>
      <patternFill patternType="solid">
        <fgColor rgb="FF162233"/>
        <bgColor indexed="64"/>
      </patternFill>
    </fill>
    <fill>
      <patternFill patternType="solid">
        <fgColor rgb="FFC59B3C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8EF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8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666699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FD8E2"/>
      </left>
      <right style="thin">
        <color rgb="FFCFD8E2"/>
      </right>
      <top style="thin">
        <color rgb="FFCFD8E2"/>
      </top>
      <bottom style="thin">
        <color rgb="FFCFD8E2"/>
      </bottom>
      <diagonal/>
    </border>
    <border>
      <left style="thin">
        <color rgb="FF0F2A4A"/>
      </left>
      <right style="thin">
        <color rgb="FF0F2A4A"/>
      </right>
      <top style="thin">
        <color rgb="FF0F2A4A"/>
      </top>
      <bottom style="thin">
        <color rgb="FF0F2A4A"/>
      </bottom>
      <diagonal/>
    </border>
    <border>
      <left/>
      <right/>
      <top style="thin">
        <color rgb="FF0F2A4A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43" fontId="18" fillId="0" borderId="0" applyFont="0" applyFill="0" applyBorder="0" applyAlignment="0" applyProtection="0"/>
  </cellStyleXfs>
  <cellXfs count="137">
    <xf numFmtId="0" fontId="0" fillId="0" borderId="0" xfId="0"/>
    <xf numFmtId="0" fontId="1" fillId="5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164" fontId="6" fillId="8" borderId="2" xfId="0" applyNumberFormat="1" applyFont="1" applyFill="1" applyBorder="1" applyAlignment="1">
      <alignment horizontal="center" vertical="center"/>
    </xf>
    <xf numFmtId="168" fontId="6" fillId="8" borderId="2" xfId="0" applyNumberFormat="1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8" fillId="9" borderId="2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1" fillId="10" borderId="2" xfId="0" applyFont="1" applyFill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4" fillId="8" borderId="2" xfId="0" applyFont="1" applyFill="1" applyBorder="1" applyAlignment="1">
      <alignment vertical="center"/>
    </xf>
    <xf numFmtId="164" fontId="7" fillId="3" borderId="2" xfId="0" applyNumberFormat="1" applyFont="1" applyFill="1" applyBorder="1" applyAlignment="1">
      <alignment vertical="center"/>
    </xf>
    <xf numFmtId="165" fontId="7" fillId="3" borderId="2" xfId="0" applyNumberFormat="1" applyFont="1" applyFill="1" applyBorder="1" applyAlignment="1">
      <alignment vertical="center"/>
    </xf>
    <xf numFmtId="1" fontId="7" fillId="3" borderId="2" xfId="0" applyNumberFormat="1" applyFont="1" applyFill="1" applyBorder="1" applyAlignment="1">
      <alignment vertical="center"/>
    </xf>
    <xf numFmtId="166" fontId="7" fillId="3" borderId="2" xfId="0" applyNumberFormat="1" applyFont="1" applyFill="1" applyBorder="1" applyAlignment="1">
      <alignment vertical="center"/>
    </xf>
    <xf numFmtId="167" fontId="7" fillId="3" borderId="2" xfId="0" applyNumberFormat="1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165" fontId="8" fillId="4" borderId="2" xfId="0" applyNumberFormat="1" applyFont="1" applyFill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4" fontId="14" fillId="8" borderId="2" xfId="0" applyNumberFormat="1" applyFont="1" applyFill="1" applyBorder="1" applyAlignment="1">
      <alignment vertical="center"/>
    </xf>
    <xf numFmtId="169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6" fillId="11" borderId="2" xfId="0" applyFont="1" applyFill="1" applyBorder="1" applyAlignment="1">
      <alignment vertical="center"/>
    </xf>
    <xf numFmtId="169" fontId="6" fillId="11" borderId="2" xfId="0" applyNumberFormat="1" applyFont="1" applyFill="1" applyBorder="1" applyAlignment="1">
      <alignment vertical="center"/>
    </xf>
    <xf numFmtId="169" fontId="6" fillId="3" borderId="2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171" fontId="2" fillId="0" borderId="0" xfId="0" applyNumberFormat="1" applyFont="1" applyAlignment="1">
      <alignment vertical="center"/>
    </xf>
    <xf numFmtId="169" fontId="2" fillId="0" borderId="0" xfId="0" applyNumberFormat="1" applyFont="1" applyAlignment="1">
      <alignment vertical="center"/>
    </xf>
    <xf numFmtId="171" fontId="11" fillId="10" borderId="2" xfId="0" applyNumberFormat="1" applyFont="1" applyFill="1" applyBorder="1" applyAlignment="1">
      <alignment vertical="center"/>
    </xf>
    <xf numFmtId="169" fontId="15" fillId="11" borderId="2" xfId="0" applyNumberFormat="1" applyFont="1" applyFill="1" applyBorder="1" applyAlignment="1">
      <alignment vertical="center"/>
    </xf>
    <xf numFmtId="170" fontId="6" fillId="11" borderId="2" xfId="0" applyNumberFormat="1" applyFont="1" applyFill="1" applyBorder="1" applyAlignment="1">
      <alignment vertical="center"/>
    </xf>
    <xf numFmtId="170" fontId="11" fillId="10" borderId="2" xfId="0" applyNumberFormat="1" applyFont="1" applyFill="1" applyBorder="1" applyAlignment="1">
      <alignment vertical="center"/>
    </xf>
    <xf numFmtId="170" fontId="2" fillId="0" borderId="2" xfId="0" applyNumberFormat="1" applyFont="1" applyBorder="1" applyAlignment="1">
      <alignment vertical="center"/>
    </xf>
    <xf numFmtId="169" fontId="16" fillId="11" borderId="2" xfId="0" applyNumberFormat="1" applyFont="1" applyFill="1" applyBorder="1" applyAlignment="1">
      <alignment vertical="center"/>
    </xf>
    <xf numFmtId="169" fontId="9" fillId="0" borderId="2" xfId="0" applyNumberFormat="1" applyFont="1" applyBorder="1" applyAlignment="1">
      <alignment vertical="center"/>
    </xf>
    <xf numFmtId="170" fontId="9" fillId="0" borderId="2" xfId="0" applyNumberFormat="1" applyFont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169" fontId="1" fillId="5" borderId="2" xfId="0" applyNumberFormat="1" applyFont="1" applyFill="1" applyBorder="1" applyAlignment="1">
      <alignment horizontal="center" vertical="center"/>
    </xf>
    <xf numFmtId="165" fontId="11" fillId="10" borderId="2" xfId="0" applyNumberFormat="1" applyFont="1" applyFill="1" applyBorder="1" applyAlignment="1">
      <alignment vertical="center"/>
    </xf>
    <xf numFmtId="165" fontId="1" fillId="5" borderId="3" xfId="0" applyNumberFormat="1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vertical="center"/>
    </xf>
    <xf numFmtId="167" fontId="9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11" fillId="10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172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13" borderId="5" xfId="0" applyFont="1" applyFill="1" applyBorder="1"/>
    <xf numFmtId="0" fontId="2" fillId="0" borderId="5" xfId="0" applyFont="1" applyBorder="1"/>
    <xf numFmtId="165" fontId="2" fillId="3" borderId="5" xfId="0" applyNumberFormat="1" applyFont="1" applyFill="1" applyBorder="1"/>
    <xf numFmtId="165" fontId="2" fillId="12" borderId="5" xfId="0" applyNumberFormat="1" applyFont="1" applyFill="1" applyBorder="1"/>
    <xf numFmtId="173" fontId="2" fillId="3" borderId="5" xfId="0" applyNumberFormat="1" applyFont="1" applyFill="1" applyBorder="1"/>
    <xf numFmtId="2" fontId="2" fillId="3" borderId="5" xfId="0" applyNumberFormat="1" applyFont="1" applyFill="1" applyBorder="1"/>
    <xf numFmtId="0" fontId="2" fillId="0" borderId="0" xfId="0" applyFont="1" applyAlignment="1">
      <alignment horizontal="right"/>
    </xf>
    <xf numFmtId="0" fontId="1" fillId="13" borderId="5" xfId="0" applyFont="1" applyFill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/>
    </xf>
    <xf numFmtId="0" fontId="1" fillId="13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1" fillId="1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73" fontId="2" fillId="0" borderId="5" xfId="0" applyNumberFormat="1" applyFont="1" applyBorder="1" applyAlignment="1">
      <alignment horizontal="right" vertical="center"/>
    </xf>
    <xf numFmtId="174" fontId="2" fillId="0" borderId="5" xfId="0" applyNumberFormat="1" applyFont="1" applyBorder="1" applyAlignment="1">
      <alignment horizontal="right" vertical="center"/>
    </xf>
    <xf numFmtId="0" fontId="6" fillId="16" borderId="5" xfId="0" applyFont="1" applyFill="1" applyBorder="1" applyAlignment="1">
      <alignment horizontal="left" vertical="center"/>
    </xf>
    <xf numFmtId="0" fontId="6" fillId="16" borderId="5" xfId="0" applyFont="1" applyFill="1" applyBorder="1" applyAlignment="1">
      <alignment horizontal="center" vertical="center"/>
    </xf>
    <xf numFmtId="173" fontId="6" fillId="16" borderId="5" xfId="0" applyNumberFormat="1" applyFont="1" applyFill="1" applyBorder="1" applyAlignment="1">
      <alignment horizontal="right" vertical="center"/>
    </xf>
    <xf numFmtId="173" fontId="2" fillId="12" borderId="5" xfId="0" applyNumberFormat="1" applyFont="1" applyFill="1" applyBorder="1" applyAlignment="1">
      <alignment horizontal="right" vertical="center"/>
    </xf>
    <xf numFmtId="174" fontId="2" fillId="12" borderId="5" xfId="0" applyNumberFormat="1" applyFont="1" applyFill="1" applyBorder="1" applyAlignment="1">
      <alignment horizontal="right" vertical="center"/>
    </xf>
    <xf numFmtId="173" fontId="6" fillId="12" borderId="5" xfId="0" applyNumberFormat="1" applyFont="1" applyFill="1" applyBorder="1" applyAlignment="1">
      <alignment horizontal="right" vertical="center"/>
    </xf>
    <xf numFmtId="0" fontId="2" fillId="12" borderId="5" xfId="0" applyFont="1" applyFill="1" applyBorder="1" applyAlignment="1">
      <alignment horizontal="right" vertical="center"/>
    </xf>
    <xf numFmtId="2" fontId="2" fillId="12" borderId="5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169" fontId="6" fillId="12" borderId="2" xfId="0" applyNumberFormat="1" applyFont="1" applyFill="1" applyBorder="1" applyAlignment="1">
      <alignment vertical="center"/>
    </xf>
    <xf numFmtId="0" fontId="2" fillId="4" borderId="5" xfId="0" applyFont="1" applyFill="1" applyBorder="1" applyAlignment="1">
      <alignment vertical="center" wrapText="1"/>
    </xf>
    <xf numFmtId="170" fontId="2" fillId="17" borderId="2" xfId="0" applyNumberFormat="1" applyFont="1" applyFill="1" applyBorder="1" applyAlignment="1">
      <alignment vertical="center"/>
    </xf>
    <xf numFmtId="43" fontId="2" fillId="0" borderId="2" xfId="2" applyFont="1" applyBorder="1" applyAlignment="1">
      <alignment vertical="center"/>
    </xf>
    <xf numFmtId="169" fontId="1" fillId="5" borderId="2" xfId="0" applyNumberFormat="1" applyFont="1" applyFill="1" applyBorder="1" applyAlignment="1">
      <alignment horizontal="left" vertical="center"/>
    </xf>
    <xf numFmtId="164" fontId="14" fillId="8" borderId="2" xfId="0" applyNumberFormat="1" applyFont="1" applyFill="1" applyBorder="1" applyAlignment="1">
      <alignment horizontal="left" vertical="center"/>
    </xf>
    <xf numFmtId="0" fontId="20" fillId="19" borderId="0" xfId="0" applyFont="1" applyFill="1"/>
    <xf numFmtId="0" fontId="21" fillId="0" borderId="0" xfId="0" applyFont="1"/>
    <xf numFmtId="169" fontId="21" fillId="0" borderId="0" xfId="0" applyNumberFormat="1" applyFont="1"/>
    <xf numFmtId="0" fontId="21" fillId="0" borderId="0" xfId="0" applyFont="1" applyAlignment="1">
      <alignment wrapText="1"/>
    </xf>
    <xf numFmtId="0" fontId="22" fillId="0" borderId="0" xfId="0" applyFont="1"/>
    <xf numFmtId="169" fontId="22" fillId="0" borderId="6" xfId="0" applyNumberFormat="1" applyFont="1" applyBorder="1"/>
    <xf numFmtId="0" fontId="22" fillId="0" borderId="0" xfId="0" applyFont="1" applyAlignment="1">
      <alignment wrapText="1"/>
    </xf>
    <xf numFmtId="175" fontId="21" fillId="0" borderId="0" xfId="0" applyNumberFormat="1" applyFont="1"/>
    <xf numFmtId="0" fontId="23" fillId="0" borderId="0" xfId="0" applyFont="1"/>
    <xf numFmtId="0" fontId="20" fillId="19" borderId="0" xfId="0" applyFont="1" applyFill="1" applyAlignment="1">
      <alignment wrapText="1"/>
    </xf>
    <xf numFmtId="0" fontId="23" fillId="0" borderId="0" xfId="0" applyFont="1" applyAlignment="1">
      <alignment wrapText="1"/>
    </xf>
    <xf numFmtId="169" fontId="23" fillId="0" borderId="0" xfId="0" applyNumberFormat="1" applyFont="1"/>
    <xf numFmtId="0" fontId="24" fillId="0" borderId="0" xfId="0" applyFont="1"/>
    <xf numFmtId="0" fontId="24" fillId="0" borderId="0" xfId="0" applyFont="1" applyAlignment="1">
      <alignment wrapText="1"/>
    </xf>
    <xf numFmtId="169" fontId="24" fillId="0" borderId="6" xfId="0" applyNumberFormat="1" applyFont="1" applyBorder="1"/>
    <xf numFmtId="175" fontId="24" fillId="0" borderId="6" xfId="0" applyNumberFormat="1" applyFont="1" applyBorder="1"/>
    <xf numFmtId="10" fontId="9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3" fillId="8" borderId="2" xfId="0" applyFont="1" applyFill="1" applyBorder="1" applyAlignment="1">
      <alignment vertical="center"/>
    </xf>
    <xf numFmtId="0" fontId="14" fillId="8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/>
    </xf>
    <xf numFmtId="0" fontId="20" fillId="18" borderId="0" xfId="0" applyFont="1" applyFill="1"/>
    <xf numFmtId="0" fontId="20" fillId="18" borderId="0" xfId="0" applyFont="1" applyFill="1" applyAlignment="1">
      <alignment wrapText="1"/>
    </xf>
    <xf numFmtId="0" fontId="16" fillId="15" borderId="5" xfId="0" applyFont="1" applyFill="1" applyBorder="1" applyAlignment="1">
      <alignment vertical="center"/>
    </xf>
    <xf numFmtId="0" fontId="16" fillId="15" borderId="0" xfId="0" applyFont="1" applyFill="1"/>
    <xf numFmtId="49" fontId="2" fillId="4" borderId="0" xfId="0" applyNumberFormat="1" applyFont="1" applyFill="1" applyAlignment="1">
      <alignment horizontal="right" wrapText="1"/>
    </xf>
    <xf numFmtId="0" fontId="1" fillId="2" borderId="0" xfId="0" applyFont="1" applyFill="1" applyAlignment="1">
      <alignment horizontal="center"/>
    </xf>
    <xf numFmtId="0" fontId="19" fillId="14" borderId="0" xfId="0" applyFont="1" applyFill="1"/>
    <xf numFmtId="0" fontId="1" fillId="5" borderId="3" xfId="0" applyFont="1" applyFill="1" applyBorder="1" applyAlignment="1">
      <alignment horizontal="center" vertical="center" wrapText="1"/>
    </xf>
    <xf numFmtId="0" fontId="10" fillId="0" borderId="0" xfId="1" applyAlignment="1">
      <alignment vertical="center"/>
    </xf>
    <xf numFmtId="0" fontId="1" fillId="5" borderId="2" xfId="0" applyFont="1" applyFill="1" applyBorder="1" applyAlignment="1">
      <alignment horizontal="left" vertical="center"/>
    </xf>
    <xf numFmtId="43" fontId="6" fillId="11" borderId="2" xfId="2" applyFont="1" applyFill="1" applyBorder="1" applyAlignment="1">
      <alignment vertical="center"/>
    </xf>
  </cellXfs>
  <cellStyles count="3">
    <cellStyle name="Comma" xfId="2" builtinId="3"/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conomictimes.indiatimes.com/markets/stocks/news/aswath-damodaran-flags-rise-in-global-risk-premiums-after-u-s-treasury-downgrade/articleshow/123045721.cm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2BAD-C6FD-4E16-9229-337225E5E16D}">
  <sheetPr>
    <tabColor rgb="FF0F2A4A"/>
    <pageSetUpPr fitToPage="1"/>
  </sheetPr>
  <dimension ref="A1:H25"/>
  <sheetViews>
    <sheetView showGridLines="0" topLeftCell="A10" workbookViewId="0">
      <selection activeCell="A25" sqref="A25:H25"/>
    </sheetView>
  </sheetViews>
  <sheetFormatPr defaultRowHeight="13" x14ac:dyDescent="0.3"/>
  <cols>
    <col min="1" max="8" width="16.77734375" style="2" customWidth="1"/>
    <col min="9" max="16384" width="8.88671875" style="2"/>
  </cols>
  <sheetData>
    <row r="1" spans="1:8" x14ac:dyDescent="0.3">
      <c r="A1" s="115" t="s">
        <v>220</v>
      </c>
      <c r="B1" s="116"/>
      <c r="C1" s="116"/>
      <c r="D1" s="116"/>
      <c r="E1" s="116"/>
      <c r="F1" s="116"/>
      <c r="G1" s="116"/>
      <c r="H1" s="116"/>
    </row>
    <row r="2" spans="1:8" x14ac:dyDescent="0.3">
      <c r="A2" s="116"/>
      <c r="B2" s="116"/>
      <c r="C2" s="116"/>
      <c r="D2" s="116"/>
      <c r="E2" s="116"/>
      <c r="F2" s="116"/>
      <c r="G2" s="116"/>
      <c r="H2" s="116"/>
    </row>
    <row r="3" spans="1:8" x14ac:dyDescent="0.3">
      <c r="A3" s="117" t="s">
        <v>221</v>
      </c>
      <c r="B3" s="118"/>
      <c r="C3" s="118"/>
      <c r="D3" s="118"/>
      <c r="E3" s="118"/>
      <c r="F3" s="118"/>
      <c r="G3" s="118"/>
      <c r="H3" s="118"/>
    </row>
    <row r="5" spans="1:8" x14ac:dyDescent="0.3">
      <c r="A5" s="119" t="s">
        <v>222</v>
      </c>
      <c r="B5" s="118"/>
      <c r="C5" s="118"/>
      <c r="D5" s="118"/>
      <c r="E5" s="118"/>
      <c r="F5" s="118"/>
      <c r="G5" s="118"/>
      <c r="H5" s="118"/>
    </row>
    <row r="6" spans="1:8" x14ac:dyDescent="0.3">
      <c r="A6" s="118"/>
      <c r="B6" s="118"/>
      <c r="C6" s="118"/>
      <c r="D6" s="118"/>
      <c r="E6" s="118"/>
      <c r="F6" s="118"/>
      <c r="G6" s="118"/>
      <c r="H6" s="118"/>
    </row>
    <row r="8" spans="1:8" x14ac:dyDescent="0.3">
      <c r="A8" s="120" t="s">
        <v>223</v>
      </c>
      <c r="B8" s="118"/>
      <c r="C8" s="118"/>
      <c r="D8" s="118"/>
      <c r="E8" s="118"/>
      <c r="F8" s="118"/>
      <c r="G8" s="118"/>
      <c r="H8" s="118"/>
    </row>
    <row r="10" spans="1:8" x14ac:dyDescent="0.3">
      <c r="A10" s="3" t="s">
        <v>6</v>
      </c>
      <c r="B10" s="3" t="s">
        <v>224</v>
      </c>
      <c r="C10" s="3" t="s">
        <v>225</v>
      </c>
      <c r="D10" s="3" t="s">
        <v>16</v>
      </c>
      <c r="E10" s="3" t="s">
        <v>139</v>
      </c>
      <c r="F10" s="3" t="s">
        <v>100</v>
      </c>
      <c r="G10" s="4"/>
      <c r="H10" s="4"/>
    </row>
    <row r="11" spans="1:8" x14ac:dyDescent="0.3">
      <c r="A11" s="5">
        <f>Inputs!B6</f>
        <v>46207</v>
      </c>
      <c r="B11" s="6">
        <f>Conclusion!E12</f>
        <v>2599.0029032170237</v>
      </c>
      <c r="C11" s="6">
        <f>Conclusion!E14</f>
        <v>148.4601576119033</v>
      </c>
      <c r="D11" s="7">
        <f>Inputs!B14</f>
        <v>0.16259999999999999</v>
      </c>
      <c r="E11" s="7">
        <f>Inputs!B13</f>
        <v>0.04</v>
      </c>
      <c r="F11" s="8" t="str">
        <f>Inputs!B12&amp;" Years"</f>
        <v>7 Years</v>
      </c>
    </row>
    <row r="14" spans="1:8" x14ac:dyDescent="0.3">
      <c r="A14" s="112" t="s">
        <v>226</v>
      </c>
      <c r="B14" s="112"/>
      <c r="C14" s="112"/>
      <c r="D14" s="112"/>
      <c r="E14" s="112"/>
      <c r="F14" s="112"/>
      <c r="G14" s="112"/>
      <c r="H14" s="112"/>
    </row>
    <row r="15" spans="1:8" x14ac:dyDescent="0.3">
      <c r="A15" s="121" t="s">
        <v>227</v>
      </c>
      <c r="B15" s="122"/>
      <c r="C15" s="122"/>
      <c r="D15" s="122"/>
      <c r="E15" s="122"/>
      <c r="F15" s="122"/>
      <c r="G15" s="122"/>
      <c r="H15" s="122"/>
    </row>
    <row r="16" spans="1:8" x14ac:dyDescent="0.3">
      <c r="A16" s="121" t="s">
        <v>228</v>
      </c>
      <c r="B16" s="114"/>
      <c r="C16" s="114"/>
      <c r="D16" s="114"/>
      <c r="E16" s="114"/>
      <c r="F16" s="114"/>
      <c r="G16" s="114"/>
      <c r="H16" s="114"/>
    </row>
    <row r="17" spans="1:8" x14ac:dyDescent="0.3">
      <c r="A17" s="121" t="s">
        <v>229</v>
      </c>
      <c r="B17" s="114"/>
      <c r="C17" s="114"/>
      <c r="D17" s="114"/>
      <c r="E17" s="114"/>
      <c r="F17" s="114"/>
      <c r="G17" s="114"/>
      <c r="H17" s="114"/>
    </row>
    <row r="18" spans="1:8" x14ac:dyDescent="0.3">
      <c r="A18" s="121" t="s">
        <v>230</v>
      </c>
      <c r="B18" s="114"/>
      <c r="C18" s="114"/>
      <c r="D18" s="114"/>
      <c r="E18" s="114"/>
      <c r="F18" s="114"/>
      <c r="G18" s="114"/>
      <c r="H18" s="114"/>
    </row>
    <row r="19" spans="1:8" x14ac:dyDescent="0.3">
      <c r="A19" s="121" t="s">
        <v>231</v>
      </c>
      <c r="B19" s="114"/>
      <c r="C19" s="114"/>
      <c r="D19" s="114"/>
      <c r="E19" s="114"/>
      <c r="F19" s="114"/>
      <c r="G19" s="114"/>
      <c r="H19" s="114"/>
    </row>
    <row r="22" spans="1:8" x14ac:dyDescent="0.3">
      <c r="A22" s="112" t="s">
        <v>232</v>
      </c>
      <c r="B22" s="112"/>
      <c r="C22" s="112"/>
      <c r="D22" s="112"/>
      <c r="E22" s="112"/>
      <c r="F22" s="112"/>
      <c r="G22" s="112"/>
      <c r="H22" s="112"/>
    </row>
    <row r="23" spans="1:8" x14ac:dyDescent="0.3">
      <c r="A23" s="9" t="s">
        <v>233</v>
      </c>
      <c r="B23" s="9" t="s">
        <v>234</v>
      </c>
      <c r="C23" s="10" t="s">
        <v>235</v>
      </c>
      <c r="D23" s="10" t="s">
        <v>236</v>
      </c>
      <c r="E23" s="11" t="s">
        <v>237</v>
      </c>
      <c r="F23" s="11" t="s">
        <v>238</v>
      </c>
    </row>
    <row r="25" spans="1:8" x14ac:dyDescent="0.3">
      <c r="A25" s="113" t="s">
        <v>239</v>
      </c>
      <c r="B25" s="114"/>
      <c r="C25" s="114"/>
      <c r="D25" s="114"/>
      <c r="E25" s="114"/>
      <c r="F25" s="114"/>
      <c r="G25" s="114"/>
      <c r="H25" s="114"/>
    </row>
  </sheetData>
  <mergeCells count="12">
    <mergeCell ref="A25:H25"/>
    <mergeCell ref="A1:H2"/>
    <mergeCell ref="A3:H3"/>
    <mergeCell ref="A5:H6"/>
    <mergeCell ref="A8:H8"/>
    <mergeCell ref="A14:H14"/>
    <mergeCell ref="A15:H15"/>
    <mergeCell ref="A16:H16"/>
    <mergeCell ref="A17:H17"/>
    <mergeCell ref="A18:H18"/>
    <mergeCell ref="A19:H19"/>
    <mergeCell ref="A22:H22"/>
  </mergeCells>
  <printOptions horizontalCentered="1"/>
  <pageMargins left="0.5" right="0.5" top="0.5" bottom="0.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5A8A-B843-4AE0-84F5-F804A9C868DE}">
  <sheetPr>
    <tabColor rgb="FFC59B3C"/>
    <pageSetUpPr fitToPage="1"/>
  </sheetPr>
  <dimension ref="A1:I56"/>
  <sheetViews>
    <sheetView showGridLines="0" topLeftCell="A18" workbookViewId="0">
      <selection activeCell="B20" sqref="B20"/>
    </sheetView>
  </sheetViews>
  <sheetFormatPr defaultRowHeight="13" x14ac:dyDescent="0.3"/>
  <cols>
    <col min="1" max="1" width="38.77734375" style="2" customWidth="1"/>
    <col min="2" max="8" width="13.77734375" style="2" customWidth="1"/>
    <col min="9" max="9" width="46" style="2" customWidth="1"/>
    <col min="10" max="16384" width="8.88671875" style="2"/>
  </cols>
  <sheetData>
    <row r="1" spans="1:8" x14ac:dyDescent="0.3">
      <c r="A1" s="112" t="s">
        <v>0</v>
      </c>
      <c r="B1" s="112"/>
      <c r="C1" s="112"/>
      <c r="D1" s="112"/>
      <c r="E1" s="112"/>
      <c r="F1" s="112"/>
      <c r="G1" s="112"/>
      <c r="H1" s="112"/>
    </row>
    <row r="2" spans="1:8" x14ac:dyDescent="0.3">
      <c r="A2" s="123" t="s">
        <v>1</v>
      </c>
      <c r="B2" s="124"/>
      <c r="C2" s="124"/>
      <c r="D2" s="124"/>
      <c r="E2" s="124"/>
      <c r="F2" s="124"/>
      <c r="G2" s="124"/>
      <c r="H2" s="124"/>
    </row>
    <row r="3" spans="1:8" x14ac:dyDescent="0.3">
      <c r="C3" s="12" t="s">
        <v>279</v>
      </c>
    </row>
    <row r="4" spans="1:8" x14ac:dyDescent="0.3">
      <c r="A4" s="22" t="s">
        <v>2</v>
      </c>
      <c r="B4" s="9" t="s">
        <v>3</v>
      </c>
      <c r="C4" s="14" t="s">
        <v>280</v>
      </c>
    </row>
    <row r="5" spans="1:8" x14ac:dyDescent="0.3">
      <c r="A5" s="22" t="s">
        <v>4</v>
      </c>
      <c r="B5" s="9" t="s">
        <v>5</v>
      </c>
      <c r="C5" s="14" t="s">
        <v>281</v>
      </c>
    </row>
    <row r="6" spans="1:8" x14ac:dyDescent="0.3">
      <c r="A6" s="22" t="s">
        <v>6</v>
      </c>
      <c r="B6" s="17">
        <v>46207</v>
      </c>
      <c r="C6" s="14" t="s">
        <v>282</v>
      </c>
    </row>
    <row r="7" spans="1:8" x14ac:dyDescent="0.3">
      <c r="A7" s="22" t="s">
        <v>7</v>
      </c>
      <c r="B7" s="17">
        <v>46477</v>
      </c>
      <c r="C7" s="14" t="s">
        <v>283</v>
      </c>
    </row>
    <row r="8" spans="1:8" x14ac:dyDescent="0.3">
      <c r="A8" s="22" t="s">
        <v>8</v>
      </c>
      <c r="B8" s="17">
        <v>46112</v>
      </c>
      <c r="C8" s="14" t="s">
        <v>284</v>
      </c>
    </row>
    <row r="9" spans="1:8" x14ac:dyDescent="0.3">
      <c r="A9" s="22" t="s">
        <v>9</v>
      </c>
      <c r="B9" s="9" t="s">
        <v>10</v>
      </c>
      <c r="C9" s="14" t="s">
        <v>285</v>
      </c>
    </row>
    <row r="10" spans="1:8" x14ac:dyDescent="0.3">
      <c r="A10" s="22" t="s">
        <v>11</v>
      </c>
      <c r="B10" s="18">
        <v>0.25169999999999998</v>
      </c>
      <c r="C10" s="14" t="s">
        <v>286</v>
      </c>
    </row>
    <row r="11" spans="1:8" x14ac:dyDescent="0.3">
      <c r="A11" s="22" t="s">
        <v>12</v>
      </c>
      <c r="B11" s="18" t="s">
        <v>13</v>
      </c>
      <c r="C11" s="14" t="s">
        <v>287</v>
      </c>
    </row>
    <row r="12" spans="1:8" x14ac:dyDescent="0.3">
      <c r="A12" s="22" t="s">
        <v>14</v>
      </c>
      <c r="B12" s="19">
        <v>7</v>
      </c>
      <c r="C12" s="14" t="s">
        <v>288</v>
      </c>
    </row>
    <row r="13" spans="1:8" x14ac:dyDescent="0.3">
      <c r="A13" s="22" t="s">
        <v>15</v>
      </c>
      <c r="B13" s="18">
        <v>0.04</v>
      </c>
      <c r="C13" s="14" t="s">
        <v>289</v>
      </c>
    </row>
    <row r="14" spans="1:8" x14ac:dyDescent="0.3">
      <c r="A14" s="22" t="s">
        <v>16</v>
      </c>
      <c r="B14" s="18">
        <f>WACC!C23</f>
        <v>0.16259999999999999</v>
      </c>
      <c r="C14" s="14" t="s">
        <v>290</v>
      </c>
    </row>
    <row r="15" spans="1:8" x14ac:dyDescent="0.3">
      <c r="A15" s="22" t="s">
        <v>17</v>
      </c>
      <c r="B15" s="20">
        <v>12</v>
      </c>
      <c r="C15" s="14" t="s">
        <v>291</v>
      </c>
    </row>
    <row r="17" spans="1:9" x14ac:dyDescent="0.3">
      <c r="A17" s="1" t="s">
        <v>18</v>
      </c>
      <c r="B17" s="1"/>
      <c r="C17" s="1"/>
    </row>
    <row r="18" spans="1:9" x14ac:dyDescent="0.3">
      <c r="A18" s="12" t="s">
        <v>19</v>
      </c>
      <c r="B18" s="12" t="s">
        <v>20</v>
      </c>
      <c r="C18" s="12" t="s">
        <v>279</v>
      </c>
    </row>
    <row r="19" spans="1:9" x14ac:dyDescent="0.3">
      <c r="A19" s="14" t="s">
        <v>22</v>
      </c>
      <c r="B19" s="18">
        <v>6.8000000000000005E-2</v>
      </c>
      <c r="C19" s="14" t="s">
        <v>292</v>
      </c>
    </row>
    <row r="20" spans="1:9" x14ac:dyDescent="0.3">
      <c r="A20" s="14" t="s">
        <v>23</v>
      </c>
      <c r="B20" s="18">
        <v>7.46E-2</v>
      </c>
      <c r="C20" s="14" t="s">
        <v>293</v>
      </c>
      <c r="D20" s="134" t="s">
        <v>430</v>
      </c>
    </row>
    <row r="21" spans="1:9" x14ac:dyDescent="0.3">
      <c r="A21" s="14" t="s">
        <v>24</v>
      </c>
      <c r="B21" s="21">
        <v>1</v>
      </c>
      <c r="C21" s="14" t="s">
        <v>294</v>
      </c>
    </row>
    <row r="22" spans="1:9" x14ac:dyDescent="0.3">
      <c r="A22" s="14" t="s">
        <v>26</v>
      </c>
      <c r="B22" s="18">
        <v>0.02</v>
      </c>
      <c r="C22" s="14" t="s">
        <v>295</v>
      </c>
    </row>
    <row r="23" spans="1:9" x14ac:dyDescent="0.3">
      <c r="A23" s="14" t="s">
        <v>27</v>
      </c>
      <c r="B23" s="18">
        <v>0.08</v>
      </c>
      <c r="C23" s="14" t="s">
        <v>296</v>
      </c>
    </row>
    <row r="24" spans="1:9" x14ac:dyDescent="0.3">
      <c r="A24" s="14" t="s">
        <v>28</v>
      </c>
      <c r="B24" s="18">
        <v>0</v>
      </c>
      <c r="C24" s="14" t="s">
        <v>297</v>
      </c>
    </row>
    <row r="25" spans="1:9" x14ac:dyDescent="0.3">
      <c r="A25" s="14" t="s">
        <v>29</v>
      </c>
      <c r="B25" s="23">
        <f>B10</f>
        <v>0.25169999999999998</v>
      </c>
      <c r="C25" s="14" t="s">
        <v>298</v>
      </c>
    </row>
    <row r="26" spans="1:9" x14ac:dyDescent="0.3">
      <c r="A26" s="14" t="s">
        <v>30</v>
      </c>
      <c r="B26" s="23">
        <f>B19+B21*B20+B22</f>
        <v>0.16259999999999999</v>
      </c>
      <c r="C26" s="14" t="s">
        <v>299</v>
      </c>
    </row>
    <row r="27" spans="1:9" x14ac:dyDescent="0.3">
      <c r="A27" s="14" t="s">
        <v>32</v>
      </c>
      <c r="B27" s="23">
        <f>B23*(1-B25)</f>
        <v>5.9864000000000001E-2</v>
      </c>
      <c r="C27" s="14" t="s">
        <v>300</v>
      </c>
    </row>
    <row r="28" spans="1:9" x14ac:dyDescent="0.3">
      <c r="A28" s="14" t="s">
        <v>16</v>
      </c>
      <c r="B28" s="23">
        <f>(1-B24)*B26+B24*B27</f>
        <v>0.16259999999999999</v>
      </c>
      <c r="C28" s="14" t="s">
        <v>301</v>
      </c>
    </row>
    <row r="30" spans="1:9" x14ac:dyDescent="0.3">
      <c r="A30" s="125" t="s">
        <v>33</v>
      </c>
      <c r="B30" s="125"/>
      <c r="C30" s="125"/>
      <c r="D30" s="125"/>
      <c r="E30" s="125"/>
      <c r="F30" s="125"/>
      <c r="G30" s="125"/>
      <c r="H30" s="125"/>
    </row>
    <row r="31" spans="1:9" x14ac:dyDescent="0.3">
      <c r="A31" s="55" t="s">
        <v>34</v>
      </c>
      <c r="B31" s="55" t="s">
        <v>35</v>
      </c>
      <c r="C31" s="55" t="s">
        <v>36</v>
      </c>
      <c r="D31" s="55" t="s">
        <v>37</v>
      </c>
      <c r="E31" s="55" t="s">
        <v>38</v>
      </c>
      <c r="F31" s="55" t="s">
        <v>39</v>
      </c>
      <c r="G31" s="55" t="s">
        <v>40</v>
      </c>
      <c r="H31" s="55" t="s">
        <v>41</v>
      </c>
      <c r="I31" s="55" t="s">
        <v>279</v>
      </c>
    </row>
    <row r="32" spans="1:9" x14ac:dyDescent="0.3">
      <c r="A32" s="56" t="s">
        <v>42</v>
      </c>
      <c r="B32" s="57">
        <v>0.18</v>
      </c>
      <c r="C32" s="57">
        <v>0.16</v>
      </c>
      <c r="D32" s="57">
        <v>0.14000000000000001</v>
      </c>
      <c r="E32" s="57">
        <v>0.12</v>
      </c>
      <c r="F32" s="57">
        <v>0.1</v>
      </c>
      <c r="G32" s="57">
        <v>0.08</v>
      </c>
      <c r="H32" s="57">
        <v>0.06</v>
      </c>
      <c r="I32" s="56" t="s">
        <v>302</v>
      </c>
    </row>
    <row r="33" spans="1:9" x14ac:dyDescent="0.3">
      <c r="A33" s="56" t="s">
        <v>244</v>
      </c>
      <c r="B33" s="57">
        <v>0.3</v>
      </c>
      <c r="C33" s="57">
        <f>B33</f>
        <v>0.3</v>
      </c>
      <c r="D33" s="57">
        <f t="shared" ref="D33:H33" si="0">C33</f>
        <v>0.3</v>
      </c>
      <c r="E33" s="57">
        <f t="shared" si="0"/>
        <v>0.3</v>
      </c>
      <c r="F33" s="57">
        <f t="shared" si="0"/>
        <v>0.3</v>
      </c>
      <c r="G33" s="57">
        <f t="shared" si="0"/>
        <v>0.3</v>
      </c>
      <c r="H33" s="57">
        <f t="shared" si="0"/>
        <v>0.3</v>
      </c>
      <c r="I33" s="56" t="s">
        <v>303</v>
      </c>
    </row>
    <row r="34" spans="1:9" x14ac:dyDescent="0.3">
      <c r="A34" s="56" t="s">
        <v>245</v>
      </c>
      <c r="B34" s="57">
        <v>0.03</v>
      </c>
      <c r="C34" s="57">
        <v>0.03</v>
      </c>
      <c r="D34" s="57">
        <v>0.03</v>
      </c>
      <c r="E34" s="57">
        <v>0.03</v>
      </c>
      <c r="F34" s="57">
        <v>0.03</v>
      </c>
      <c r="G34" s="57">
        <v>0.03</v>
      </c>
      <c r="H34" s="57">
        <v>0.03</v>
      </c>
      <c r="I34" s="56" t="s">
        <v>304</v>
      </c>
    </row>
    <row r="35" spans="1:9" x14ac:dyDescent="0.3">
      <c r="A35" s="56" t="s">
        <v>315</v>
      </c>
      <c r="B35" s="57">
        <v>0.01</v>
      </c>
      <c r="C35" s="57">
        <v>0.01</v>
      </c>
      <c r="D35" s="57">
        <v>0.01</v>
      </c>
      <c r="E35" s="57">
        <v>0.01</v>
      </c>
      <c r="F35" s="57">
        <v>0.01</v>
      </c>
      <c r="G35" s="57">
        <v>0.01</v>
      </c>
      <c r="H35" s="57">
        <v>0.01</v>
      </c>
      <c r="I35" s="56" t="s">
        <v>316</v>
      </c>
    </row>
    <row r="36" spans="1:9" x14ac:dyDescent="0.3">
      <c r="A36" s="56" t="s">
        <v>317</v>
      </c>
      <c r="B36" s="57">
        <v>0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6" t="s">
        <v>318</v>
      </c>
    </row>
    <row r="37" spans="1:9" x14ac:dyDescent="0.3">
      <c r="A37" s="56" t="s">
        <v>246</v>
      </c>
      <c r="B37" s="57">
        <v>0.02</v>
      </c>
      <c r="C37" s="57">
        <f>B37</f>
        <v>0.02</v>
      </c>
      <c r="D37" s="57">
        <f t="shared" ref="D37:H37" si="1">C37</f>
        <v>0.02</v>
      </c>
      <c r="E37" s="57">
        <f t="shared" si="1"/>
        <v>0.02</v>
      </c>
      <c r="F37" s="57">
        <f t="shared" si="1"/>
        <v>0.02</v>
      </c>
      <c r="G37" s="57">
        <f t="shared" si="1"/>
        <v>0.02</v>
      </c>
      <c r="H37" s="57">
        <f t="shared" si="1"/>
        <v>0.02</v>
      </c>
      <c r="I37" s="56" t="s">
        <v>305</v>
      </c>
    </row>
    <row r="38" spans="1:9" x14ac:dyDescent="0.3">
      <c r="A38" s="56" t="s">
        <v>247</v>
      </c>
      <c r="B38" s="58">
        <f t="shared" ref="B38:H38" si="2">B33-B34-B35-B36-B37</f>
        <v>0.24000000000000002</v>
      </c>
      <c r="C38" s="58">
        <f t="shared" si="2"/>
        <v>0.24000000000000002</v>
      </c>
      <c r="D38" s="58">
        <f t="shared" si="2"/>
        <v>0.24000000000000002</v>
      </c>
      <c r="E38" s="58">
        <f t="shared" si="2"/>
        <v>0.24000000000000002</v>
      </c>
      <c r="F38" s="58">
        <f t="shared" si="2"/>
        <v>0.24000000000000002</v>
      </c>
      <c r="G38" s="58">
        <f t="shared" si="2"/>
        <v>0.24000000000000002</v>
      </c>
      <c r="H38" s="58">
        <f t="shared" si="2"/>
        <v>0.24000000000000002</v>
      </c>
      <c r="I38" s="56" t="s">
        <v>306</v>
      </c>
    </row>
    <row r="39" spans="1:9" x14ac:dyDescent="0.3">
      <c r="A39" s="56" t="s">
        <v>43</v>
      </c>
      <c r="B39" s="57">
        <v>2.5000000000000001E-2</v>
      </c>
      <c r="C39" s="57">
        <v>2.5000000000000001E-2</v>
      </c>
      <c r="D39" s="57">
        <v>2.5000000000000001E-2</v>
      </c>
      <c r="E39" s="57">
        <v>2.5000000000000001E-2</v>
      </c>
      <c r="F39" s="57">
        <v>2.5000000000000001E-2</v>
      </c>
      <c r="G39" s="57">
        <v>2.5000000000000001E-2</v>
      </c>
      <c r="H39" s="57">
        <v>2.5000000000000001E-2</v>
      </c>
      <c r="I39" s="56" t="s">
        <v>307</v>
      </c>
    </row>
    <row r="40" spans="1:9" x14ac:dyDescent="0.3">
      <c r="A40" s="56" t="s">
        <v>44</v>
      </c>
      <c r="B40" s="57">
        <v>0.02</v>
      </c>
      <c r="C40" s="57">
        <f>B40</f>
        <v>0.02</v>
      </c>
      <c r="D40" s="57">
        <f t="shared" ref="D40:H40" si="3">C40</f>
        <v>0.02</v>
      </c>
      <c r="E40" s="57">
        <f t="shared" si="3"/>
        <v>0.02</v>
      </c>
      <c r="F40" s="57">
        <f t="shared" si="3"/>
        <v>0.02</v>
      </c>
      <c r="G40" s="57">
        <f t="shared" si="3"/>
        <v>0.02</v>
      </c>
      <c r="H40" s="57">
        <f t="shared" si="3"/>
        <v>0.02</v>
      </c>
      <c r="I40" s="56" t="s">
        <v>308</v>
      </c>
    </row>
    <row r="41" spans="1:9" x14ac:dyDescent="0.3">
      <c r="A41" s="56" t="s">
        <v>45</v>
      </c>
      <c r="B41" s="57">
        <v>0.01</v>
      </c>
      <c r="C41" s="57">
        <v>0.01</v>
      </c>
      <c r="D41" s="57">
        <v>0.01</v>
      </c>
      <c r="E41" s="57">
        <v>0.01</v>
      </c>
      <c r="F41" s="57">
        <v>0.01</v>
      </c>
      <c r="G41" s="57">
        <v>0.01</v>
      </c>
      <c r="H41" s="57">
        <v>0.01</v>
      </c>
      <c r="I41" s="56" t="s">
        <v>309</v>
      </c>
    </row>
    <row r="42" spans="1:9" x14ac:dyDescent="0.3">
      <c r="A42" s="56"/>
      <c r="B42" s="56"/>
      <c r="C42" s="56"/>
      <c r="D42" s="56"/>
      <c r="E42" s="56"/>
      <c r="F42" s="56"/>
      <c r="G42" s="56"/>
      <c r="H42" s="56"/>
    </row>
    <row r="43" spans="1:9" x14ac:dyDescent="0.3">
      <c r="A43" s="125" t="s">
        <v>46</v>
      </c>
      <c r="B43" s="125"/>
      <c r="C43" s="125"/>
      <c r="D43" s="125"/>
      <c r="E43" s="125"/>
      <c r="F43" s="125"/>
      <c r="G43" s="125"/>
      <c r="H43" s="125"/>
    </row>
    <row r="44" spans="1:9" x14ac:dyDescent="0.3">
      <c r="A44" s="55" t="s">
        <v>34</v>
      </c>
      <c r="B44" s="55" t="s">
        <v>20</v>
      </c>
      <c r="C44" s="55" t="s">
        <v>279</v>
      </c>
      <c r="D44" s="56"/>
      <c r="E44" s="56"/>
      <c r="F44" s="56"/>
      <c r="G44" s="56"/>
      <c r="H44" s="56"/>
    </row>
    <row r="45" spans="1:9" x14ac:dyDescent="0.3">
      <c r="A45" s="56" t="s">
        <v>47</v>
      </c>
      <c r="B45" s="59">
        <v>135.54339999999999</v>
      </c>
      <c r="C45" s="56" t="s">
        <v>310</v>
      </c>
      <c r="D45" s="56"/>
      <c r="E45" s="56"/>
      <c r="F45" s="56"/>
      <c r="G45" s="56"/>
      <c r="H45" s="56"/>
    </row>
    <row r="46" spans="1:9" x14ac:dyDescent="0.3">
      <c r="A46" s="56" t="s">
        <v>48</v>
      </c>
      <c r="B46" s="59">
        <v>29.493600000000001</v>
      </c>
      <c r="C46" s="56" t="s">
        <v>311</v>
      </c>
      <c r="D46" s="56"/>
      <c r="E46" s="56"/>
      <c r="F46" s="56"/>
      <c r="G46" s="56"/>
      <c r="H46" s="56"/>
    </row>
    <row r="47" spans="1:9" x14ac:dyDescent="0.3">
      <c r="A47" s="56" t="s">
        <v>49</v>
      </c>
      <c r="B47" s="59">
        <v>30.995999999999999</v>
      </c>
      <c r="C47" s="56" t="s">
        <v>312</v>
      </c>
      <c r="D47" s="56"/>
      <c r="E47" s="56"/>
      <c r="F47" s="56"/>
      <c r="G47" s="56"/>
      <c r="H47" s="56"/>
    </row>
    <row r="48" spans="1:9" x14ac:dyDescent="0.3">
      <c r="A48" s="56" t="s">
        <v>50</v>
      </c>
      <c r="B48" s="59">
        <v>1.7548999999999999</v>
      </c>
      <c r="C48" s="56" t="s">
        <v>313</v>
      </c>
      <c r="D48" s="56"/>
      <c r="E48" s="56"/>
      <c r="F48" s="56"/>
      <c r="G48" s="56"/>
      <c r="H48" s="56"/>
    </row>
    <row r="49" spans="1:8" x14ac:dyDescent="0.3">
      <c r="A49" s="56" t="s">
        <v>51</v>
      </c>
      <c r="B49" s="60">
        <v>17.506399999999999</v>
      </c>
      <c r="C49" s="56" t="s">
        <v>314</v>
      </c>
      <c r="D49" s="56"/>
      <c r="E49" s="56"/>
      <c r="F49" s="56"/>
      <c r="G49" s="56"/>
      <c r="H49" s="56"/>
    </row>
    <row r="50" spans="1:8" x14ac:dyDescent="0.3">
      <c r="A50"/>
      <c r="B50"/>
      <c r="C50"/>
      <c r="D50"/>
      <c r="E50"/>
      <c r="F50"/>
      <c r="G50"/>
      <c r="H50"/>
    </row>
    <row r="51" spans="1:8" x14ac:dyDescent="0.3">
      <c r="A51"/>
      <c r="B51"/>
      <c r="C51"/>
      <c r="D51"/>
      <c r="E51"/>
      <c r="F51"/>
      <c r="G51"/>
      <c r="H51"/>
    </row>
    <row r="52" spans="1:8" x14ac:dyDescent="0.3">
      <c r="A52"/>
      <c r="B52"/>
      <c r="C52"/>
      <c r="D52"/>
      <c r="E52"/>
      <c r="F52"/>
      <c r="G52"/>
      <c r="H52"/>
    </row>
    <row r="53" spans="1:8" x14ac:dyDescent="0.3">
      <c r="A53"/>
      <c r="B53"/>
      <c r="C53"/>
      <c r="D53"/>
      <c r="E53"/>
      <c r="F53"/>
      <c r="G53"/>
      <c r="H53"/>
    </row>
    <row r="54" spans="1:8" x14ac:dyDescent="0.3">
      <c r="A54"/>
      <c r="B54"/>
      <c r="C54"/>
      <c r="D54"/>
      <c r="E54"/>
      <c r="F54"/>
      <c r="G54"/>
      <c r="H54"/>
    </row>
    <row r="55" spans="1:8" x14ac:dyDescent="0.3">
      <c r="A55"/>
      <c r="B55"/>
      <c r="C55"/>
      <c r="D55"/>
      <c r="E55"/>
      <c r="F55"/>
      <c r="G55"/>
      <c r="H55"/>
    </row>
    <row r="56" spans="1:8" x14ac:dyDescent="0.3">
      <c r="A56"/>
      <c r="B56"/>
      <c r="C56"/>
      <c r="D56"/>
      <c r="E56"/>
      <c r="F56"/>
      <c r="G56"/>
      <c r="H56"/>
    </row>
  </sheetData>
  <mergeCells count="4">
    <mergeCell ref="A1:H1"/>
    <mergeCell ref="A2:H2"/>
    <mergeCell ref="A30:H30"/>
    <mergeCell ref="A43:H43"/>
  </mergeCells>
  <hyperlinks>
    <hyperlink ref="D20" r:id="rId1" xr:uid="{DFBD1ED1-3ACC-4D16-A972-5D0DEC9B2ED3}"/>
  </hyperlinks>
  <printOptions horizontalCentered="1"/>
  <pageMargins left="0.5" right="0.5" top="0.5" bottom="0.5" header="0.3" footer="0.3"/>
  <pageSetup fitToHeight="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EB97-A499-4C72-A598-3544F96F0B4D}">
  <sheetPr>
    <tabColor rgb="FF006B6B"/>
    <pageSetUpPr fitToPage="1"/>
  </sheetPr>
  <dimension ref="A1:E12"/>
  <sheetViews>
    <sheetView showGridLines="0" workbookViewId="0">
      <selection sqref="A1:E1"/>
    </sheetView>
  </sheetViews>
  <sheetFormatPr defaultRowHeight="13" x14ac:dyDescent="0.3"/>
  <cols>
    <col min="1" max="1" width="15.88671875" style="2" bestFit="1" customWidth="1"/>
    <col min="2" max="2" width="69.77734375" style="2" bestFit="1" customWidth="1"/>
    <col min="3" max="3" width="12.109375" style="2" bestFit="1" customWidth="1"/>
    <col min="4" max="16384" width="8.88671875" style="2"/>
  </cols>
  <sheetData>
    <row r="1" spans="1:5" x14ac:dyDescent="0.3">
      <c r="A1" s="112" t="s">
        <v>140</v>
      </c>
      <c r="B1" s="112"/>
      <c r="C1" s="112"/>
      <c r="D1" s="112"/>
      <c r="E1" s="112"/>
    </row>
    <row r="3" spans="1:5" x14ac:dyDescent="0.3">
      <c r="A3" s="12" t="s">
        <v>141</v>
      </c>
      <c r="B3" s="12" t="s">
        <v>142</v>
      </c>
      <c r="C3" s="12" t="s">
        <v>143</v>
      </c>
    </row>
    <row r="4" spans="1:5" x14ac:dyDescent="0.3">
      <c r="A4" s="13" t="s">
        <v>240</v>
      </c>
      <c r="B4" s="14" t="s">
        <v>241</v>
      </c>
      <c r="C4" s="14" t="s">
        <v>242</v>
      </c>
    </row>
    <row r="5" spans="1:5" x14ac:dyDescent="0.3">
      <c r="A5" s="13" t="s">
        <v>144</v>
      </c>
      <c r="B5" s="14" t="s">
        <v>243</v>
      </c>
      <c r="C5" s="14" t="s">
        <v>145</v>
      </c>
    </row>
    <row r="6" spans="1:5" x14ac:dyDescent="0.3">
      <c r="A6" s="13" t="s">
        <v>146</v>
      </c>
      <c r="B6" s="14" t="s">
        <v>147</v>
      </c>
      <c r="C6" s="14" t="s">
        <v>148</v>
      </c>
    </row>
    <row r="7" spans="1:5" x14ac:dyDescent="0.3">
      <c r="A7" s="13" t="s">
        <v>149</v>
      </c>
      <c r="B7" s="14" t="s">
        <v>150</v>
      </c>
      <c r="C7" s="14" t="s">
        <v>148</v>
      </c>
    </row>
    <row r="8" spans="1:5" x14ac:dyDescent="0.3">
      <c r="A8" s="13" t="s">
        <v>16</v>
      </c>
      <c r="B8" s="14" t="s">
        <v>151</v>
      </c>
      <c r="C8" s="14" t="s">
        <v>152</v>
      </c>
    </row>
    <row r="9" spans="1:5" x14ac:dyDescent="0.3">
      <c r="A9" s="13" t="s">
        <v>153</v>
      </c>
      <c r="B9" s="14" t="s">
        <v>275</v>
      </c>
      <c r="C9" s="14" t="s">
        <v>152</v>
      </c>
    </row>
    <row r="10" spans="1:5" x14ac:dyDescent="0.3">
      <c r="A10" s="13" t="s">
        <v>154</v>
      </c>
      <c r="B10" s="14" t="s">
        <v>155</v>
      </c>
      <c r="C10" s="14" t="s">
        <v>156</v>
      </c>
    </row>
    <row r="11" spans="1:5" x14ac:dyDescent="0.3">
      <c r="A11" s="13" t="s">
        <v>157</v>
      </c>
      <c r="B11" s="14" t="s">
        <v>158</v>
      </c>
      <c r="C11" s="14" t="s">
        <v>159</v>
      </c>
    </row>
    <row r="12" spans="1:5" x14ac:dyDescent="0.3">
      <c r="A12" s="13" t="s">
        <v>160</v>
      </c>
      <c r="B12" s="14" t="s">
        <v>161</v>
      </c>
      <c r="C12" s="14" t="s">
        <v>159</v>
      </c>
    </row>
  </sheetData>
  <mergeCells count="1">
    <mergeCell ref="A1:E1"/>
  </mergeCells>
  <hyperlinks>
    <hyperlink ref="A4" location="'Prepared By'!A1" display="Prepared By" xr:uid="{1F4AF161-8725-461D-83C3-5FB3A06A2665}"/>
    <hyperlink ref="A5" location="'Inputs'!A1" display="Inputs" xr:uid="{BD4E7047-F9D7-41CE-993A-A1D3FFE52195}"/>
    <hyperlink ref="A6" location="'Conclusion'!A1" display="Conclusion" xr:uid="{91804097-8C42-44BC-B1AE-F7B229CFE8E6}"/>
    <hyperlink ref="A7" location="'DCF'!A1" display="DCF" xr:uid="{F7BDFD71-E65D-4749-B90E-19879C2D62D4}"/>
    <hyperlink ref="A8" location="'WACC'!A1" display="WACC" xr:uid="{657BC3F4-9CF4-4D6C-A7DA-94DBB4395C3A}"/>
    <hyperlink ref="A9" location="'PL&amp;BS'!A1" display="PL&amp;BS" xr:uid="{D31D808E-303C-46F2-9858-1D1BF6886936}"/>
    <hyperlink ref="A10" location="'WC Movement'!A1" display="WC Movement" xr:uid="{5506441C-2217-4F76-82BC-087978916D8A}"/>
    <hyperlink ref="A11" location="'Sources'!A1" display="Sources" xr:uid="{FF4C091F-7CBA-4BC9-A7EE-45AFB07233DF}"/>
    <hyperlink ref="A12" location="'Checks'!A1" display="Checks" xr:uid="{F45DAEBB-4506-4115-B36D-1FED4EF3EF35}"/>
  </hyperlinks>
  <printOptions horizontalCentered="1"/>
  <pageMargins left="0.5" right="0.5" top="0.5" bottom="0.5" header="0.3" footer="0.3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174D-72F8-4798-9E2F-485C65AE35FD}">
  <sheetPr>
    <tabColor rgb="FF0F2A4A"/>
    <pageSetUpPr fitToPage="1"/>
  </sheetPr>
  <dimension ref="B2:H14"/>
  <sheetViews>
    <sheetView showGridLines="0" workbookViewId="0">
      <selection activeCell="D10" sqref="D10"/>
    </sheetView>
  </sheetViews>
  <sheetFormatPr defaultRowHeight="13" x14ac:dyDescent="0.3"/>
  <cols>
    <col min="1" max="1" width="8.88671875" style="2"/>
    <col min="2" max="2" width="41.5546875" style="2" bestFit="1" customWidth="1"/>
    <col min="3" max="4" width="8.44140625" style="2" bestFit="1" customWidth="1"/>
    <col min="5" max="5" width="17" style="2" bestFit="1" customWidth="1"/>
    <col min="6" max="6" width="8.88671875" style="2"/>
    <col min="7" max="7" width="18.5546875" style="2" bestFit="1" customWidth="1"/>
    <col min="8" max="8" width="8.21875" style="2" bestFit="1" customWidth="1"/>
    <col min="9" max="16384" width="8.88671875" style="2"/>
  </cols>
  <sheetData>
    <row r="2" spans="2:8" x14ac:dyDescent="0.3">
      <c r="B2" s="112" t="str">
        <f>Inputs!B4</f>
        <v>Crizac Limited</v>
      </c>
      <c r="C2" s="112"/>
      <c r="D2" s="112"/>
      <c r="E2" s="112"/>
      <c r="F2" s="112"/>
      <c r="G2" s="112"/>
      <c r="H2" s="1"/>
    </row>
    <row r="3" spans="2:8" x14ac:dyDescent="0.3">
      <c r="B3" s="25">
        <f>Inputs!B6</f>
        <v>46207</v>
      </c>
      <c r="C3" s="16"/>
      <c r="D3" s="16"/>
      <c r="E3" s="16"/>
      <c r="F3" s="16"/>
      <c r="G3" s="16"/>
      <c r="H3" s="16"/>
    </row>
    <row r="4" spans="2:8" x14ac:dyDescent="0.3">
      <c r="B4" s="1" t="s">
        <v>129</v>
      </c>
      <c r="C4" s="1"/>
      <c r="D4" s="1"/>
      <c r="E4" s="1"/>
      <c r="F4" s="1"/>
      <c r="G4" s="1"/>
      <c r="H4" s="1"/>
    </row>
    <row r="5" spans="2:8" x14ac:dyDescent="0.3">
      <c r="B5" s="16" t="str">
        <f>Inputs!B9</f>
        <v>Figures in INR Crore</v>
      </c>
      <c r="C5" s="16"/>
      <c r="D5" s="16"/>
      <c r="E5" s="16"/>
      <c r="F5" s="16"/>
      <c r="G5" s="16"/>
      <c r="H5" s="16"/>
    </row>
    <row r="7" spans="2:8" x14ac:dyDescent="0.3">
      <c r="B7" s="12" t="s">
        <v>34</v>
      </c>
      <c r="C7" s="12" t="s">
        <v>20</v>
      </c>
      <c r="D7" s="12" t="s">
        <v>130</v>
      </c>
      <c r="E7" s="12" t="s">
        <v>131</v>
      </c>
      <c r="G7" s="12" t="s">
        <v>138</v>
      </c>
      <c r="H7" s="12"/>
    </row>
    <row r="8" spans="2:8" x14ac:dyDescent="0.3">
      <c r="B8" s="14" t="s">
        <v>132</v>
      </c>
      <c r="C8" s="26">
        <f>DCF!E37</f>
        <v>2599.0029032170237</v>
      </c>
      <c r="D8" s="27">
        <v>1</v>
      </c>
      <c r="E8" s="26">
        <f>C8*D8</f>
        <v>2599.0029032170237</v>
      </c>
      <c r="G8" s="14" t="s">
        <v>139</v>
      </c>
      <c r="H8" s="27">
        <f>Inputs!B13</f>
        <v>0.04</v>
      </c>
    </row>
    <row r="9" spans="2:8" x14ac:dyDescent="0.3">
      <c r="B9" s="14" t="s">
        <v>133</v>
      </c>
      <c r="C9" s="26"/>
      <c r="D9" s="27">
        <v>0</v>
      </c>
      <c r="E9" s="26">
        <f>C9*D9</f>
        <v>0</v>
      </c>
      <c r="G9" s="14" t="s">
        <v>16</v>
      </c>
      <c r="H9" s="27">
        <f>WACC!C23</f>
        <v>0.16259999999999999</v>
      </c>
    </row>
    <row r="10" spans="2:8" x14ac:dyDescent="0.3">
      <c r="B10" s="14" t="s">
        <v>134</v>
      </c>
      <c r="C10" s="26"/>
      <c r="D10" s="27">
        <v>0</v>
      </c>
      <c r="E10" s="26">
        <f>C10*D10</f>
        <v>0</v>
      </c>
      <c r="G10" s="14" t="s">
        <v>100</v>
      </c>
      <c r="H10" s="14" t="str">
        <f>Inputs!B12&amp;" Years"</f>
        <v>7 Years</v>
      </c>
    </row>
    <row r="11" spans="2:8" x14ac:dyDescent="0.3">
      <c r="B11" s="14" t="s">
        <v>135</v>
      </c>
      <c r="C11" s="26"/>
      <c r="D11" s="27">
        <v>0</v>
      </c>
      <c r="E11" s="26">
        <f>C11*D11</f>
        <v>0</v>
      </c>
    </row>
    <row r="12" spans="2:8" x14ac:dyDescent="0.3">
      <c r="B12" s="28" t="s">
        <v>136</v>
      </c>
      <c r="C12" s="29"/>
      <c r="D12" s="29"/>
      <c r="E12" s="29">
        <f>SUM(E8:E11)</f>
        <v>2599.0029032170237</v>
      </c>
    </row>
    <row r="13" spans="2:8" x14ac:dyDescent="0.3">
      <c r="B13" s="28" t="s">
        <v>119</v>
      </c>
      <c r="C13" s="29"/>
      <c r="D13" s="29"/>
      <c r="E13" s="29">
        <f>DCF!E38</f>
        <v>17.506399999999999</v>
      </c>
    </row>
    <row r="14" spans="2:8" x14ac:dyDescent="0.3">
      <c r="B14" s="28" t="s">
        <v>137</v>
      </c>
      <c r="C14" s="29"/>
      <c r="D14" s="29"/>
      <c r="E14" s="30">
        <f>IFERROR(E12/E13,0)</f>
        <v>148.4601576119033</v>
      </c>
    </row>
  </sheetData>
  <mergeCells count="1">
    <mergeCell ref="B2:G2"/>
  </mergeCells>
  <printOptions horizontalCentered="1"/>
  <pageMargins left="0.5" right="0.5" top="0.5" bottom="0.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429C-AEBA-49C8-B9AB-B3BB49F076E0}">
  <sheetPr>
    <tabColor rgb="FF1F4E79"/>
    <pageSetUpPr fitToPage="1"/>
  </sheetPr>
  <dimension ref="C2:L50"/>
  <sheetViews>
    <sheetView showGridLines="0" tabSelected="1" topLeftCell="A20" zoomScaleNormal="100" zoomScaleSheetLayoutView="90" workbookViewId="0">
      <selection activeCell="F42" sqref="F42"/>
    </sheetView>
  </sheetViews>
  <sheetFormatPr defaultRowHeight="13" x14ac:dyDescent="0.3"/>
  <cols>
    <col min="1" max="2" width="8.88671875" style="2"/>
    <col min="3" max="3" width="34.77734375" style="2" customWidth="1"/>
    <col min="4" max="4" width="7.21875" style="2" bestFit="1" customWidth="1"/>
    <col min="5" max="7" width="8.5546875" style="2" bestFit="1" customWidth="1"/>
    <col min="8" max="8" width="8.33203125" style="2" customWidth="1"/>
    <col min="9" max="11" width="8.5546875" style="2" bestFit="1" customWidth="1"/>
    <col min="12" max="12" width="17.77734375" style="2" customWidth="1"/>
    <col min="13" max="16384" width="8.88671875" style="2"/>
  </cols>
  <sheetData>
    <row r="2" spans="3:12" x14ac:dyDescent="0.3">
      <c r="C2" s="112" t="str">
        <f>Inputs!B4</f>
        <v>Crizac Limited</v>
      </c>
      <c r="D2" s="112"/>
      <c r="E2" s="112"/>
      <c r="F2" s="112"/>
      <c r="G2" s="112"/>
      <c r="H2" s="112"/>
      <c r="I2" s="112"/>
      <c r="J2" s="112"/>
      <c r="K2" s="112"/>
      <c r="L2" s="112"/>
    </row>
    <row r="3" spans="3:12" x14ac:dyDescent="0.3">
      <c r="C3" s="93">
        <f>Inputs!B6</f>
        <v>46207</v>
      </c>
      <c r="D3" s="16"/>
      <c r="E3" s="16"/>
      <c r="F3" s="16"/>
      <c r="G3" s="16"/>
      <c r="H3" s="16"/>
      <c r="I3" s="16"/>
      <c r="J3" s="16"/>
      <c r="K3" s="16"/>
      <c r="L3" s="16"/>
    </row>
    <row r="4" spans="3:12" x14ac:dyDescent="0.3">
      <c r="C4" s="1" t="s">
        <v>99</v>
      </c>
      <c r="D4" s="1"/>
      <c r="E4" s="1"/>
      <c r="F4" s="1"/>
      <c r="G4" s="1"/>
      <c r="H4" s="1"/>
      <c r="I4" s="1"/>
      <c r="J4" s="1"/>
      <c r="K4" s="1"/>
      <c r="L4" s="1"/>
    </row>
    <row r="5" spans="3:12" x14ac:dyDescent="0.3">
      <c r="C5" s="16" t="str">
        <f>Inputs!B9</f>
        <v>Figures in INR Crore</v>
      </c>
      <c r="D5" s="16"/>
      <c r="E5" s="16"/>
      <c r="F5" s="16"/>
      <c r="G5" s="16"/>
      <c r="H5" s="16"/>
      <c r="I5" s="16"/>
      <c r="J5" s="16"/>
      <c r="K5" s="16"/>
      <c r="L5" s="16"/>
    </row>
    <row r="6" spans="3:12" x14ac:dyDescent="0.3">
      <c r="E6" s="112" t="s">
        <v>100</v>
      </c>
      <c r="F6" s="112"/>
      <c r="G6" s="112"/>
      <c r="H6" s="112"/>
      <c r="I6" s="112"/>
      <c r="J6" s="112"/>
      <c r="K6" s="112"/>
    </row>
    <row r="7" spans="3:12" x14ac:dyDescent="0.3">
      <c r="E7" s="32">
        <v>46477</v>
      </c>
      <c r="F7" s="32">
        <v>46843</v>
      </c>
      <c r="G7" s="32">
        <v>47208</v>
      </c>
      <c r="H7" s="32">
        <v>47573</v>
      </c>
      <c r="I7" s="32">
        <v>47938</v>
      </c>
      <c r="J7" s="32">
        <v>48304</v>
      </c>
      <c r="K7" s="32">
        <v>48669</v>
      </c>
      <c r="L7" s="2" t="s">
        <v>101</v>
      </c>
    </row>
    <row r="8" spans="3:12" x14ac:dyDescent="0.3">
      <c r="C8" s="12"/>
      <c r="D8" s="12"/>
      <c r="E8" s="12">
        <v>12</v>
      </c>
      <c r="F8" s="12">
        <v>12</v>
      </c>
      <c r="G8" s="12">
        <v>12</v>
      </c>
      <c r="H8" s="12">
        <v>12</v>
      </c>
      <c r="I8" s="12">
        <v>12</v>
      </c>
      <c r="J8" s="12">
        <v>12</v>
      </c>
      <c r="K8" s="12">
        <v>12</v>
      </c>
      <c r="L8" s="34">
        <f>K7</f>
        <v>48669</v>
      </c>
    </row>
    <row r="9" spans="3:12" x14ac:dyDescent="0.3"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3:12" x14ac:dyDescent="0.3">
      <c r="C10" s="14" t="s">
        <v>92</v>
      </c>
      <c r="D10" s="14"/>
      <c r="E10" s="40">
        <f>'PL&amp;BS'!H6</f>
        <v>1229.7453779999998</v>
      </c>
      <c r="F10" s="40">
        <f>'PL&amp;BS'!I6</f>
        <v>1426.5046384799998</v>
      </c>
      <c r="G10" s="40">
        <f>'PL&amp;BS'!J6</f>
        <v>1626.2152878672</v>
      </c>
      <c r="H10" s="40">
        <f>'PL&amp;BS'!K6</f>
        <v>1821.3611224112642</v>
      </c>
      <c r="I10" s="40">
        <f>'PL&amp;BS'!L6</f>
        <v>2003.4972346523907</v>
      </c>
      <c r="J10" s="40">
        <f>'PL&amp;BS'!M6</f>
        <v>2163.777013424582</v>
      </c>
      <c r="K10" s="40">
        <f>'PL&amp;BS'!N6</f>
        <v>2293.6036342300572</v>
      </c>
      <c r="L10" s="26"/>
    </row>
    <row r="11" spans="3:12" x14ac:dyDescent="0.3">
      <c r="C11" s="14" t="s">
        <v>107</v>
      </c>
      <c r="D11" s="14"/>
      <c r="E11" s="41">
        <f>'PL&amp;BS'!H7</f>
        <v>0.17999999999999994</v>
      </c>
      <c r="F11" s="41">
        <f>'PL&amp;BS'!I7</f>
        <v>0.15999999999999992</v>
      </c>
      <c r="G11" s="41">
        <f>'PL&amp;BS'!J7</f>
        <v>0.14000000000000012</v>
      </c>
      <c r="H11" s="41">
        <f>'PL&amp;BS'!K7</f>
        <v>0.12000000000000011</v>
      </c>
      <c r="I11" s="41">
        <f>'PL&amp;BS'!L7</f>
        <v>0.10000000000000009</v>
      </c>
      <c r="J11" s="41">
        <f>'PL&amp;BS'!M7</f>
        <v>8.0000000000000071E-2</v>
      </c>
      <c r="K11" s="41">
        <f>'PL&amp;BS'!N7</f>
        <v>6.0000000000000053E-2</v>
      </c>
      <c r="L11" s="26"/>
    </row>
    <row r="12" spans="3:12" x14ac:dyDescent="0.3">
      <c r="C12" s="14" t="s">
        <v>61</v>
      </c>
      <c r="D12" s="14"/>
      <c r="E12" s="40">
        <f>'PL&amp;BS'!H20</f>
        <v>295.13889072000006</v>
      </c>
      <c r="F12" s="40">
        <f>'PL&amp;BS'!I20</f>
        <v>342.36111323520004</v>
      </c>
      <c r="G12" s="40">
        <f>'PL&amp;BS'!J20</f>
        <v>390.29166908812806</v>
      </c>
      <c r="H12" s="40">
        <f>'PL&amp;BS'!K20</f>
        <v>437.12666937870347</v>
      </c>
      <c r="I12" s="40">
        <f>'PL&amp;BS'!L20</f>
        <v>480.83933631657379</v>
      </c>
      <c r="J12" s="40">
        <f>'PL&amp;BS'!M20</f>
        <v>519.30648322189973</v>
      </c>
      <c r="K12" s="40">
        <f>'PL&amp;BS'!N20</f>
        <v>550.46487221521386</v>
      </c>
      <c r="L12" s="26"/>
    </row>
    <row r="13" spans="3:12" x14ac:dyDescent="0.3">
      <c r="C13" s="14" t="s">
        <v>62</v>
      </c>
      <c r="D13" s="14"/>
      <c r="E13" s="41">
        <f>'PL&amp;BS'!H21</f>
        <v>0.24000000000000007</v>
      </c>
      <c r="F13" s="41">
        <f>'PL&amp;BS'!I21</f>
        <v>0.24000000000000005</v>
      </c>
      <c r="G13" s="41">
        <f>'PL&amp;BS'!J21</f>
        <v>0.24000000000000005</v>
      </c>
      <c r="H13" s="41">
        <f>'PL&amp;BS'!K21</f>
        <v>0.24000000000000002</v>
      </c>
      <c r="I13" s="41">
        <f>'PL&amp;BS'!L21</f>
        <v>0.24000000000000002</v>
      </c>
      <c r="J13" s="41">
        <f>'PL&amp;BS'!M21</f>
        <v>0.24000000000000002</v>
      </c>
      <c r="K13" s="41">
        <f>'PL&amp;BS'!N21</f>
        <v>0.24000000000000005</v>
      </c>
      <c r="L13" s="26"/>
    </row>
    <row r="14" spans="3:12" x14ac:dyDescent="0.3">
      <c r="C14" s="14" t="s">
        <v>63</v>
      </c>
      <c r="D14" s="14"/>
      <c r="E14" s="40">
        <f>'PL&amp;BS'!H22</f>
        <v>30.743634449999998</v>
      </c>
      <c r="F14" s="40">
        <f>'PL&amp;BS'!I22</f>
        <v>35.662615961999997</v>
      </c>
      <c r="G14" s="40">
        <f>'PL&amp;BS'!J22</f>
        <v>40.655382196680002</v>
      </c>
      <c r="H14" s="40">
        <f>'PL&amp;BS'!K22</f>
        <v>45.534028060281607</v>
      </c>
      <c r="I14" s="40">
        <f>'PL&amp;BS'!L22</f>
        <v>50.087430866309774</v>
      </c>
      <c r="J14" s="40">
        <f>'PL&amp;BS'!M22</f>
        <v>54.094425335614552</v>
      </c>
      <c r="K14" s="40">
        <f>'PL&amp;BS'!N22</f>
        <v>57.340090855751434</v>
      </c>
      <c r="L14" s="26"/>
    </row>
    <row r="15" spans="3:12" x14ac:dyDescent="0.3">
      <c r="C15" s="14" t="s">
        <v>65</v>
      </c>
      <c r="D15" s="14"/>
      <c r="E15" s="40">
        <f t="shared" ref="E15:K15" si="0">E12-E14</f>
        <v>264.39525627000006</v>
      </c>
      <c r="F15" s="40">
        <f t="shared" si="0"/>
        <v>306.69849727320002</v>
      </c>
      <c r="G15" s="40">
        <f t="shared" si="0"/>
        <v>349.63628689144804</v>
      </c>
      <c r="H15" s="40">
        <f t="shared" si="0"/>
        <v>391.59264131842184</v>
      </c>
      <c r="I15" s="40">
        <f t="shared" si="0"/>
        <v>430.75190545026402</v>
      </c>
      <c r="J15" s="40">
        <f t="shared" si="0"/>
        <v>465.21205788628515</v>
      </c>
      <c r="K15" s="40">
        <f t="shared" si="0"/>
        <v>493.12478135946242</v>
      </c>
      <c r="L15" s="26"/>
    </row>
    <row r="16" spans="3:12" x14ac:dyDescent="0.3">
      <c r="C16" s="14" t="s">
        <v>106</v>
      </c>
      <c r="D16" s="14"/>
      <c r="E16" s="40">
        <f>'PL&amp;BS'!H25</f>
        <v>66.548286003159006</v>
      </c>
      <c r="F16" s="40">
        <f>'PL&amp;BS'!I25</f>
        <v>77.196011763664444</v>
      </c>
      <c r="G16" s="40">
        <f>'PL&amp;BS'!J25</f>
        <v>88.003453410577464</v>
      </c>
      <c r="H16" s="40">
        <f>'PL&amp;BS'!K25</f>
        <v>98.563867819846763</v>
      </c>
      <c r="I16" s="40">
        <f>'PL&amp;BS'!L25</f>
        <v>108.42025460183145</v>
      </c>
      <c r="J16" s="40">
        <f>'PL&amp;BS'!M25</f>
        <v>117.09387496997796</v>
      </c>
      <c r="K16" s="40">
        <f>'PL&amp;BS'!N25</f>
        <v>124.11950746817668</v>
      </c>
      <c r="L16" s="26"/>
    </row>
    <row r="17" spans="3:12" x14ac:dyDescent="0.3">
      <c r="C17" s="14" t="s">
        <v>67</v>
      </c>
      <c r="D17" s="14"/>
      <c r="E17" s="40">
        <f t="shared" ref="E17:K17" si="1">E15-E16</f>
        <v>197.84697026684105</v>
      </c>
      <c r="F17" s="40">
        <f t="shared" si="1"/>
        <v>229.50248550953557</v>
      </c>
      <c r="G17" s="40">
        <f t="shared" si="1"/>
        <v>261.63283348087054</v>
      </c>
      <c r="H17" s="40">
        <f t="shared" si="1"/>
        <v>293.02877349857511</v>
      </c>
      <c r="I17" s="40">
        <f t="shared" si="1"/>
        <v>322.33165084843256</v>
      </c>
      <c r="J17" s="40">
        <f t="shared" si="1"/>
        <v>348.11818291630721</v>
      </c>
      <c r="K17" s="40">
        <f t="shared" si="1"/>
        <v>369.00527389128575</v>
      </c>
      <c r="L17" s="26"/>
    </row>
    <row r="18" spans="3:12" x14ac:dyDescent="0.3">
      <c r="C18" s="14"/>
      <c r="D18" s="14"/>
      <c r="E18" s="40"/>
      <c r="F18" s="40"/>
      <c r="G18" s="40"/>
      <c r="H18" s="40"/>
      <c r="I18" s="40"/>
      <c r="J18" s="40"/>
      <c r="K18" s="40"/>
      <c r="L18" s="26"/>
    </row>
    <row r="19" spans="3:12" x14ac:dyDescent="0.3">
      <c r="C19" s="14" t="s">
        <v>105</v>
      </c>
      <c r="D19" s="14"/>
      <c r="E19" s="40">
        <f t="shared" ref="E19:K19" si="2">E14</f>
        <v>30.743634449999998</v>
      </c>
      <c r="F19" s="40">
        <f t="shared" si="2"/>
        <v>35.662615961999997</v>
      </c>
      <c r="G19" s="40">
        <f t="shared" si="2"/>
        <v>40.655382196680002</v>
      </c>
      <c r="H19" s="40">
        <f t="shared" si="2"/>
        <v>45.534028060281607</v>
      </c>
      <c r="I19" s="40">
        <f t="shared" si="2"/>
        <v>50.087430866309774</v>
      </c>
      <c r="J19" s="40">
        <f t="shared" si="2"/>
        <v>54.094425335614552</v>
      </c>
      <c r="K19" s="40">
        <f t="shared" si="2"/>
        <v>57.340090855751434</v>
      </c>
      <c r="L19" s="26"/>
    </row>
    <row r="20" spans="3:12" x14ac:dyDescent="0.3">
      <c r="C20" s="14" t="s">
        <v>104</v>
      </c>
      <c r="D20" s="14"/>
      <c r="E20" s="40">
        <f>-'PL&amp;BS'!H28</f>
        <v>-24.594907559999996</v>
      </c>
      <c r="F20" s="40">
        <f>-'PL&amp;BS'!I28</f>
        <v>-28.530092769599996</v>
      </c>
      <c r="G20" s="40">
        <f>-'PL&amp;BS'!J28</f>
        <v>-32.524305757344003</v>
      </c>
      <c r="H20" s="40">
        <f>-'PL&amp;BS'!K28</f>
        <v>-36.427222448225287</v>
      </c>
      <c r="I20" s="40">
        <f>-'PL&amp;BS'!L28</f>
        <v>-40.069944693047816</v>
      </c>
      <c r="J20" s="40">
        <f>-'PL&amp;BS'!M28</f>
        <v>-43.275540268491639</v>
      </c>
      <c r="K20" s="40">
        <f>-'PL&amp;BS'!N28</f>
        <v>-45.872072684601143</v>
      </c>
      <c r="L20" s="26"/>
    </row>
    <row r="21" spans="3:12" x14ac:dyDescent="0.3">
      <c r="C21" s="14" t="s">
        <v>103</v>
      </c>
      <c r="D21" s="14"/>
      <c r="E21" s="40">
        <f>-'PL&amp;BS'!H32</f>
        <v>-7.3864668978082175</v>
      </c>
      <c r="F21" s="40">
        <f>-'PL&amp;BS'!I32</f>
        <v>-1.9675926048000001</v>
      </c>
      <c r="G21" s="40">
        <f>-'PL&amp;BS'!J32</f>
        <v>-1.9971064938720033</v>
      </c>
      <c r="H21" s="40">
        <f>-'PL&amp;BS'!K32</f>
        <v>-1.951458345440642</v>
      </c>
      <c r="I21" s="40">
        <f>-'PL&amp;BS'!L32</f>
        <v>-1.8213611224112647</v>
      </c>
      <c r="J21" s="40">
        <f>-'PL&amp;BS'!M32</f>
        <v>-1.6027977877219115</v>
      </c>
      <c r="K21" s="40">
        <f>-'PL&amp;BS'!N32</f>
        <v>-1.298266208054752</v>
      </c>
      <c r="L21" s="26"/>
    </row>
    <row r="22" spans="3:12" x14ac:dyDescent="0.3">
      <c r="C22" s="14"/>
      <c r="D22" s="14"/>
      <c r="E22" s="40"/>
      <c r="F22" s="40"/>
      <c r="G22" s="40"/>
      <c r="H22" s="40"/>
      <c r="I22" s="40"/>
      <c r="J22" s="40"/>
      <c r="K22" s="40"/>
      <c r="L22" s="26"/>
    </row>
    <row r="23" spans="3:12" x14ac:dyDescent="0.3">
      <c r="C23" s="28" t="s">
        <v>102</v>
      </c>
      <c r="D23" s="28"/>
      <c r="E23" s="35">
        <f t="shared" ref="E23:K23" si="3">SUM(E17,E19:E21)</f>
        <v>196.60923025903284</v>
      </c>
      <c r="F23" s="35">
        <f t="shared" si="3"/>
        <v>234.6674160971356</v>
      </c>
      <c r="G23" s="35">
        <f t="shared" si="3"/>
        <v>267.76680342633455</v>
      </c>
      <c r="H23" s="35">
        <f t="shared" si="3"/>
        <v>300.18412076519081</v>
      </c>
      <c r="I23" s="35">
        <f t="shared" si="3"/>
        <v>330.52777589928326</v>
      </c>
      <c r="J23" s="35">
        <f t="shared" si="3"/>
        <v>357.33427019570826</v>
      </c>
      <c r="K23" s="35">
        <f t="shared" si="3"/>
        <v>379.17502585438126</v>
      </c>
      <c r="L23" s="29"/>
    </row>
    <row r="24" spans="3:12" x14ac:dyDescent="0.3">
      <c r="C24" s="14"/>
      <c r="D24" s="14"/>
      <c r="E24" s="26"/>
      <c r="F24" s="26"/>
      <c r="G24" s="26"/>
      <c r="H24" s="26"/>
      <c r="I24" s="26"/>
      <c r="J24" s="26"/>
      <c r="K24" s="26"/>
      <c r="L24" s="26"/>
    </row>
    <row r="25" spans="3:12" x14ac:dyDescent="0.3">
      <c r="C25" s="14" t="s">
        <v>110</v>
      </c>
      <c r="D25" s="14"/>
      <c r="E25" s="26">
        <f>E8/24</f>
        <v>0.5</v>
      </c>
      <c r="F25" s="26">
        <f t="shared" ref="F25:K25" si="4">E25+1</f>
        <v>1.5</v>
      </c>
      <c r="G25" s="26">
        <f t="shared" si="4"/>
        <v>2.5</v>
      </c>
      <c r="H25" s="26">
        <f t="shared" si="4"/>
        <v>3.5</v>
      </c>
      <c r="I25" s="26">
        <f t="shared" si="4"/>
        <v>4.5</v>
      </c>
      <c r="J25" s="26">
        <f t="shared" si="4"/>
        <v>5.5</v>
      </c>
      <c r="K25" s="26">
        <f t="shared" si="4"/>
        <v>6.5</v>
      </c>
      <c r="L25" s="26"/>
    </row>
    <row r="26" spans="3:12" x14ac:dyDescent="0.3">
      <c r="C26" s="14" t="s">
        <v>109</v>
      </c>
      <c r="D26" s="38">
        <f>WACC!C23</f>
        <v>0.16259999999999999</v>
      </c>
      <c r="E26" s="91">
        <f t="shared" ref="E26:K26" si="5">1/((1+$D$26)^E25)</f>
        <v>0.92743790257588354</v>
      </c>
      <c r="F26" s="91">
        <f t="shared" si="5"/>
        <v>0.79772742351271575</v>
      </c>
      <c r="G26" s="91">
        <f t="shared" si="5"/>
        <v>0.68615811415165651</v>
      </c>
      <c r="H26" s="91">
        <f t="shared" si="5"/>
        <v>0.59019276978466917</v>
      </c>
      <c r="I26" s="91">
        <f t="shared" si="5"/>
        <v>0.50764903645679438</v>
      </c>
      <c r="J26" s="91">
        <f t="shared" si="5"/>
        <v>0.4366497819170776</v>
      </c>
      <c r="K26" s="91">
        <f t="shared" si="5"/>
        <v>0.37558040763553885</v>
      </c>
      <c r="L26" s="38"/>
    </row>
    <row r="27" spans="3:12" x14ac:dyDescent="0.3">
      <c r="C27" s="28" t="s">
        <v>108</v>
      </c>
      <c r="D27" s="28"/>
      <c r="E27" s="39">
        <f t="shared" ref="E27:K27" si="6">E23*E26</f>
        <v>182.34285213849637</v>
      </c>
      <c r="F27" s="39">
        <f t="shared" si="6"/>
        <v>187.20063322555438</v>
      </c>
      <c r="G27" s="39">
        <f t="shared" si="6"/>
        <v>183.73036487143102</v>
      </c>
      <c r="H27" s="39">
        <f t="shared" si="6"/>
        <v>177.16649767978359</v>
      </c>
      <c r="I27" s="39">
        <f t="shared" si="6"/>
        <v>167.79210695747841</v>
      </c>
      <c r="J27" s="39">
        <f t="shared" si="6"/>
        <v>156.02993115245408</v>
      </c>
      <c r="K27" s="39">
        <f t="shared" si="6"/>
        <v>142.41071077560449</v>
      </c>
      <c r="L27" s="29"/>
    </row>
    <row r="28" spans="3:12" x14ac:dyDescent="0.3">
      <c r="E28" s="33"/>
      <c r="F28" s="33"/>
      <c r="G28" s="33"/>
      <c r="H28" s="33"/>
      <c r="I28" s="33"/>
      <c r="J28" s="33"/>
      <c r="K28" s="33"/>
      <c r="L28" s="33"/>
    </row>
    <row r="29" spans="3:12" x14ac:dyDescent="0.3">
      <c r="E29" s="33"/>
      <c r="F29" s="33"/>
      <c r="G29" s="33"/>
      <c r="H29" s="33"/>
      <c r="I29" s="33"/>
      <c r="J29" s="33"/>
      <c r="K29" s="33"/>
      <c r="L29" s="33"/>
    </row>
    <row r="30" spans="3:12" x14ac:dyDescent="0.3">
      <c r="C30" s="42" t="s">
        <v>111</v>
      </c>
      <c r="D30" s="42"/>
      <c r="E30" s="43"/>
      <c r="F30" s="33"/>
      <c r="G30" s="33"/>
      <c r="H30" s="92" t="s">
        <v>112</v>
      </c>
      <c r="I30" s="43"/>
      <c r="J30" s="43"/>
      <c r="K30" s="43"/>
      <c r="L30" s="43"/>
    </row>
    <row r="31" spans="3:12" x14ac:dyDescent="0.3">
      <c r="C31" s="28" t="s">
        <v>113</v>
      </c>
      <c r="D31" s="28"/>
      <c r="E31" s="29">
        <f>SUM(E27:K27)</f>
        <v>1196.6730968008023</v>
      </c>
      <c r="F31" s="33"/>
      <c r="G31" s="33"/>
      <c r="H31" s="29" t="s">
        <v>121</v>
      </c>
      <c r="I31" s="29"/>
      <c r="J31" s="29"/>
      <c r="K31" s="29"/>
      <c r="L31" s="29" t="s">
        <v>122</v>
      </c>
    </row>
    <row r="32" spans="3:12" x14ac:dyDescent="0.3">
      <c r="C32" s="28" t="s">
        <v>114</v>
      </c>
      <c r="D32" s="28"/>
      <c r="E32" s="29">
        <f>L36</f>
        <v>1208.0517064162211</v>
      </c>
      <c r="F32" s="33"/>
      <c r="G32" s="33"/>
      <c r="H32" s="29" t="s">
        <v>123</v>
      </c>
      <c r="I32" s="29"/>
      <c r="J32" s="29"/>
      <c r="K32" s="29"/>
      <c r="L32" s="29">
        <f>K23*(1+Inputs!B13)</f>
        <v>394.34202688855652</v>
      </c>
    </row>
    <row r="33" spans="3:12" x14ac:dyDescent="0.3">
      <c r="C33" s="28" t="s">
        <v>115</v>
      </c>
      <c r="D33" s="28"/>
      <c r="E33" s="29">
        <f>SUM(E31:E32)</f>
        <v>2404.7248032170237</v>
      </c>
      <c r="F33" s="33"/>
      <c r="G33" s="33"/>
      <c r="H33" s="29" t="s">
        <v>124</v>
      </c>
      <c r="I33" s="29"/>
      <c r="J33" s="29"/>
      <c r="K33" s="29"/>
      <c r="L33" s="36">
        <f>Inputs!B13</f>
        <v>0.04</v>
      </c>
    </row>
    <row r="34" spans="3:12" x14ac:dyDescent="0.3">
      <c r="C34" s="28" t="s">
        <v>116</v>
      </c>
      <c r="D34" s="28"/>
      <c r="E34" s="88">
        <f>Inputs!B45</f>
        <v>135.54339999999999</v>
      </c>
      <c r="F34" s="33"/>
      <c r="G34" s="33"/>
      <c r="H34" s="29" t="s">
        <v>16</v>
      </c>
      <c r="I34" s="29"/>
      <c r="J34" s="29"/>
      <c r="K34" s="29"/>
      <c r="L34" s="36">
        <f>WACC!C23</f>
        <v>0.16259999999999999</v>
      </c>
    </row>
    <row r="35" spans="3:12" x14ac:dyDescent="0.3">
      <c r="C35" s="28" t="s">
        <v>117</v>
      </c>
      <c r="D35" s="28"/>
      <c r="E35" s="88">
        <f>Inputs!B46+Inputs!B47</f>
        <v>60.489599999999996</v>
      </c>
      <c r="F35" s="33"/>
      <c r="G35" s="33"/>
      <c r="H35" s="29" t="s">
        <v>125</v>
      </c>
      <c r="I35" s="29"/>
      <c r="J35" s="29"/>
      <c r="K35" s="29"/>
      <c r="L35" s="29">
        <f>L32/(L34-L33)</f>
        <v>3216.4928783732184</v>
      </c>
    </row>
    <row r="36" spans="3:12" x14ac:dyDescent="0.3">
      <c r="C36" s="28" t="s">
        <v>118</v>
      </c>
      <c r="D36" s="28"/>
      <c r="E36" s="88">
        <f>-Inputs!B48</f>
        <v>-1.7548999999999999</v>
      </c>
      <c r="F36" s="33"/>
      <c r="G36" s="33"/>
      <c r="H36" s="29" t="s">
        <v>126</v>
      </c>
      <c r="I36" s="29"/>
      <c r="J36" s="29"/>
      <c r="K36" s="29"/>
      <c r="L36" s="29">
        <f>L35*K26</f>
        <v>1208.0517064162211</v>
      </c>
    </row>
    <row r="37" spans="3:12" x14ac:dyDescent="0.3">
      <c r="C37" s="28" t="s">
        <v>111</v>
      </c>
      <c r="D37" s="28"/>
      <c r="E37" s="88">
        <f>SUM(E33:E36)</f>
        <v>2599.0029032170237</v>
      </c>
      <c r="F37" s="33"/>
      <c r="G37" s="33"/>
      <c r="H37" s="29" t="s">
        <v>127</v>
      </c>
      <c r="I37" s="29"/>
      <c r="J37" s="29"/>
      <c r="K37" s="29"/>
      <c r="L37" s="36">
        <f>IFERROR(L36/E33,0)</f>
        <v>0.5023658860257515</v>
      </c>
    </row>
    <row r="38" spans="3:12" x14ac:dyDescent="0.3">
      <c r="C38" s="28" t="s">
        <v>119</v>
      </c>
      <c r="D38" s="28"/>
      <c r="E38" s="88">
        <f>Inputs!B49</f>
        <v>17.506399999999999</v>
      </c>
      <c r="F38" s="33"/>
      <c r="G38" s="33"/>
      <c r="H38" s="33"/>
      <c r="I38" s="33"/>
      <c r="J38" s="33"/>
      <c r="K38" s="33"/>
      <c r="L38" s="33"/>
    </row>
    <row r="39" spans="3:12" x14ac:dyDescent="0.3">
      <c r="C39" s="28" t="s">
        <v>120</v>
      </c>
      <c r="D39" s="28"/>
      <c r="E39" s="29">
        <f>IFERROR(E37/E38,0)</f>
        <v>148.4601576119033</v>
      </c>
      <c r="F39" s="33"/>
      <c r="G39" s="33"/>
      <c r="H39" s="33"/>
      <c r="I39" s="33"/>
      <c r="J39" s="33"/>
      <c r="K39" s="33"/>
      <c r="L39" s="33"/>
    </row>
    <row r="41" spans="3:12" x14ac:dyDescent="0.3">
      <c r="C41" s="135" t="s">
        <v>431</v>
      </c>
      <c r="D41" s="42" t="s">
        <v>434</v>
      </c>
      <c r="E41" s="43" t="s">
        <v>435</v>
      </c>
      <c r="F41" s="42" t="s">
        <v>436</v>
      </c>
    </row>
    <row r="42" spans="3:12" x14ac:dyDescent="0.3">
      <c r="C42" s="28" t="s">
        <v>432</v>
      </c>
      <c r="D42" s="136">
        <f>$E$33/'PL&amp;BS'!E20</f>
        <v>33.102868829043338</v>
      </c>
      <c r="E42" s="136">
        <f>$E$33/'PL&amp;BS'!F20</f>
        <v>11.29923035784376</v>
      </c>
      <c r="F42" s="136">
        <f>$E$33/'PL&amp;BS'!G20</f>
        <v>8.5146541511724987</v>
      </c>
    </row>
    <row r="43" spans="3:12" x14ac:dyDescent="0.3">
      <c r="C43" s="28" t="s">
        <v>433</v>
      </c>
      <c r="D43" s="136">
        <f>$E$33/'PL&amp;BS'!E6</f>
        <v>3.7877675024603992</v>
      </c>
      <c r="E43" s="136">
        <f>$E$33/'PL&amp;BS'!F6</f>
        <v>2.8307831433376265</v>
      </c>
      <c r="F43" s="136">
        <f>$E$33/'PL&amp;BS'!G6</f>
        <v>2.3074494269789305</v>
      </c>
    </row>
    <row r="46" spans="3:12" x14ac:dyDescent="0.3">
      <c r="C46" s="42" t="s">
        <v>128</v>
      </c>
      <c r="D46" s="42"/>
      <c r="E46" s="42"/>
      <c r="F46" s="42"/>
      <c r="G46" s="42"/>
      <c r="H46" s="42"/>
      <c r="I46" s="31"/>
    </row>
    <row r="47" spans="3:12" x14ac:dyDescent="0.3">
      <c r="C47" s="12"/>
      <c r="D47" s="37">
        <f>WACC!C23-1%</f>
        <v>0.15259999999999999</v>
      </c>
      <c r="E47" s="37">
        <f>WACC!C23-0.5%</f>
        <v>0.15759999999999999</v>
      </c>
      <c r="F47" s="37">
        <f>WACC!C23</f>
        <v>0.16259999999999999</v>
      </c>
      <c r="G47" s="37">
        <f>WACC!C23+0.5%</f>
        <v>0.1676</v>
      </c>
      <c r="H47" s="37">
        <f>WACC!C23+1%</f>
        <v>0.1726</v>
      </c>
    </row>
    <row r="48" spans="3:12" x14ac:dyDescent="0.3">
      <c r="C48" s="38">
        <f>Inputs!B13-1%</f>
        <v>0.03</v>
      </c>
      <c r="D48" s="26">
        <f>IFERROR((E31+L32/(D$47-$C48)*K26+Inputs!B41+Inputs!B42+Inputs!B43-Inputs!B44)/Inputs!B45,0)</f>
        <v>0</v>
      </c>
      <c r="E48" s="26">
        <f>IFERROR(($E$31+$L$32/(E$47-$C48)*$K$26+Inputs!$B$45+Inputs!$B$46+Inputs!$B$47-Inputs!$B$48)/Inputs!$B$49,0)</f>
        <v>145.75614940284945</v>
      </c>
      <c r="F48" s="26">
        <f>IFERROR(($E$31+$L$32/(F$47-$C48)*$K$26+Inputs!$B$45+Inputs!$B$46+Inputs!$B$47-Inputs!$B$48)/Inputs!$B$49,0)</f>
        <v>143.256063381507</v>
      </c>
      <c r="G48" s="26">
        <f>IFERROR(($E$31+$L$32/(G$47-$C48)*$K$26+Inputs!$B$45+Inputs!$B$46+Inputs!$B$47-Inputs!$B$48)/Inputs!$B$49,0)</f>
        <v>140.93766965822726</v>
      </c>
      <c r="H48" s="26">
        <f>IFERROR((E31+L32/(H$47-$C48)*K26+Inputs!B41+Inputs!B42+Inputs!B43-Inputs!B44)/Inputs!B45,0)</f>
        <v>0</v>
      </c>
    </row>
    <row r="49" spans="3:8" x14ac:dyDescent="0.3">
      <c r="C49" s="38">
        <f>Inputs!B13</f>
        <v>0.04</v>
      </c>
      <c r="D49" s="26">
        <f>IFERROR((E31+L32/(D$47-$C49)*K26+Inputs!B41+Inputs!B42+Inputs!B43-Inputs!B44)/Inputs!B45,0)</f>
        <v>0</v>
      </c>
      <c r="E49" s="26">
        <f>IFERROR(($E$31+$L$32/(E$47-$C49)*$K$26+Inputs!$B$45+Inputs!$B$46+Inputs!$B$47-Inputs!$B$48)/Inputs!$B$49,0)</f>
        <v>151.39409849179506</v>
      </c>
      <c r="F49" s="26">
        <f>IFERROR(($E$31+$L$32/(F$47-$C49)*$K$26+Inputs!$B$45+Inputs!$B$46+Inputs!$B$47-Inputs!$B$48)/Inputs!$B$49,0)</f>
        <v>148.4601576119033</v>
      </c>
      <c r="G49" s="26">
        <f>IFERROR(($E$31+$L$32/(G$47-$C49)*$K$26+Inputs!$B$45+Inputs!$B$46+Inputs!$B$47-Inputs!$B$48)/Inputs!$B$49,0)</f>
        <v>145.75614940284945</v>
      </c>
      <c r="H49" s="26">
        <f>IFERROR((E31+L32/(H$47-$C49)*K26+Inputs!B41+Inputs!B42+Inputs!B43-Inputs!B44)/Inputs!B45,0)</f>
        <v>0</v>
      </c>
    </row>
    <row r="50" spans="3:8" x14ac:dyDescent="0.3">
      <c r="C50" s="38">
        <f>Inputs!B13+1%</f>
        <v>0.05</v>
      </c>
      <c r="D50" s="26">
        <f>IFERROR((E31+L32/(D$47-$C50)*K26+Inputs!B41+Inputs!B42+Inputs!B43-Inputs!B44)/Inputs!B45,0)</f>
        <v>0</v>
      </c>
      <c r="E50" s="26">
        <f>IFERROR(($E$31+$L$32/(E$47-$C50)*$K$26+Inputs!$B$45+Inputs!$B$46+Inputs!$B$47-Inputs!$B$48)/Inputs!$B$49,0)</f>
        <v>158.07999350805397</v>
      </c>
      <c r="F50" s="26">
        <f>IFERROR(($E$31+$L$32/(F$47-$C50)*$K$26+Inputs!$B$45+Inputs!$B$46+Inputs!$B$47-Inputs!$B$48)/Inputs!$B$49,0)</f>
        <v>154.58860250489212</v>
      </c>
      <c r="G50" s="26">
        <f>IFERROR(($E$31+$L$32/(G$47-$C50)*$K$26+Inputs!$B$45+Inputs!$B$46+Inputs!$B$47-Inputs!$B$48)/Inputs!$B$49,0)</f>
        <v>151.39409849179503</v>
      </c>
      <c r="H50" s="26">
        <f>IFERROR((E31+L32/(H$47-$C50)*K26+Inputs!B41+Inputs!B42+Inputs!B43-Inputs!B44)/Inputs!B45,0)</f>
        <v>0</v>
      </c>
    </row>
  </sheetData>
  <mergeCells count="2">
    <mergeCell ref="C2:L2"/>
    <mergeCell ref="E6:K6"/>
  </mergeCells>
  <printOptions horizontalCentered="1"/>
  <pageMargins left="0.5" right="0.5" top="0.5" bottom="0.5" header="0.3" footer="0.3"/>
  <pageSetup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7378-5B17-4429-9FDD-20B42661FF79}">
  <sheetPr>
    <tabColor rgb="FF1F4E79"/>
    <pageSetUpPr fitToPage="1"/>
  </sheetPr>
  <dimension ref="B1:H23"/>
  <sheetViews>
    <sheetView showGridLines="0" workbookViewId="0">
      <selection activeCell="C7" sqref="C7"/>
    </sheetView>
  </sheetViews>
  <sheetFormatPr defaultRowHeight="13" x14ac:dyDescent="0.3"/>
  <cols>
    <col min="1" max="1" width="8.88671875" style="2"/>
    <col min="2" max="2" width="29" style="2" bestFit="1" customWidth="1"/>
    <col min="3" max="3" width="8.44140625" style="2" bestFit="1" customWidth="1"/>
    <col min="4" max="4" width="38.5546875" style="2" bestFit="1" customWidth="1"/>
    <col min="5" max="16384" width="8.88671875" style="2"/>
  </cols>
  <sheetData>
    <row r="1" spans="2:8" x14ac:dyDescent="0.3">
      <c r="B1" s="112" t="str">
        <f>Inputs!B4</f>
        <v>Crizac Limited</v>
      </c>
      <c r="C1" s="112"/>
      <c r="D1" s="112"/>
      <c r="E1" s="112"/>
      <c r="F1" s="112"/>
      <c r="G1" s="112"/>
      <c r="H1" s="112"/>
    </row>
    <row r="2" spans="2:8" x14ac:dyDescent="0.3">
      <c r="B2" s="25">
        <f>Inputs!B6</f>
        <v>46207</v>
      </c>
      <c r="C2" s="16"/>
      <c r="D2" s="16"/>
      <c r="E2" s="16"/>
      <c r="F2" s="16"/>
      <c r="G2" s="16"/>
      <c r="H2" s="16"/>
    </row>
    <row r="3" spans="2:8" x14ac:dyDescent="0.3">
      <c r="B3" s="1" t="s">
        <v>73</v>
      </c>
      <c r="C3" s="1"/>
      <c r="D3" s="1"/>
      <c r="E3" s="1"/>
      <c r="F3" s="1"/>
      <c r="G3" s="1"/>
      <c r="H3" s="1"/>
    </row>
    <row r="5" spans="2:8" x14ac:dyDescent="0.3">
      <c r="B5" s="12" t="s">
        <v>74</v>
      </c>
      <c r="C5" s="12" t="s">
        <v>20</v>
      </c>
      <c r="D5" s="12" t="s">
        <v>75</v>
      </c>
    </row>
    <row r="6" spans="2:8" x14ac:dyDescent="0.3">
      <c r="B6" s="14" t="s">
        <v>22</v>
      </c>
      <c r="C6" s="110">
        <f>Inputs!B19</f>
        <v>6.8000000000000005E-2</v>
      </c>
      <c r="D6" s="14" t="s">
        <v>76</v>
      </c>
      <c r="E6" s="2" t="s">
        <v>428</v>
      </c>
    </row>
    <row r="7" spans="2:8" x14ac:dyDescent="0.3">
      <c r="B7" s="14" t="s">
        <v>23</v>
      </c>
      <c r="C7" s="110">
        <f>Inputs!B20</f>
        <v>7.46E-2</v>
      </c>
      <c r="D7" s="14" t="s">
        <v>77</v>
      </c>
    </row>
    <row r="8" spans="2:8" x14ac:dyDescent="0.3">
      <c r="B8" s="14" t="s">
        <v>24</v>
      </c>
      <c r="C8" s="47">
        <f>Inputs!B21</f>
        <v>1</v>
      </c>
      <c r="D8" s="14" t="s">
        <v>25</v>
      </c>
    </row>
    <row r="9" spans="2:8" x14ac:dyDescent="0.3">
      <c r="B9" s="14" t="s">
        <v>26</v>
      </c>
      <c r="C9" s="110">
        <f>Inputs!B22</f>
        <v>0.02</v>
      </c>
      <c r="D9" s="14" t="s">
        <v>429</v>
      </c>
    </row>
    <row r="10" spans="2:8" x14ac:dyDescent="0.3">
      <c r="B10" s="14" t="s">
        <v>30</v>
      </c>
      <c r="C10" s="111">
        <f>C6+C8*C7+C9</f>
        <v>0.16259999999999999</v>
      </c>
      <c r="D10" s="14" t="s">
        <v>31</v>
      </c>
    </row>
    <row r="11" spans="2:8" x14ac:dyDescent="0.3">
      <c r="B11" s="15"/>
      <c r="C11" s="24"/>
      <c r="D11" s="15"/>
    </row>
    <row r="12" spans="2:8" x14ac:dyDescent="0.3">
      <c r="B12" s="15"/>
      <c r="C12" s="24"/>
      <c r="D12" s="15"/>
    </row>
    <row r="13" spans="2:8" x14ac:dyDescent="0.3">
      <c r="B13" s="12" t="s">
        <v>78</v>
      </c>
      <c r="C13" s="44" t="s">
        <v>20</v>
      </c>
      <c r="D13" s="12" t="s">
        <v>79</v>
      </c>
    </row>
    <row r="14" spans="2:8" x14ac:dyDescent="0.3">
      <c r="B14" s="14" t="s">
        <v>80</v>
      </c>
      <c r="C14" s="46">
        <f>1-C15</f>
        <v>1</v>
      </c>
      <c r="D14" s="14" t="s">
        <v>81</v>
      </c>
    </row>
    <row r="15" spans="2:8" x14ac:dyDescent="0.3">
      <c r="B15" s="14" t="s">
        <v>82</v>
      </c>
      <c r="C15" s="46">
        <f>Inputs!B24</f>
        <v>0</v>
      </c>
      <c r="D15" s="14" t="s">
        <v>83</v>
      </c>
    </row>
    <row r="16" spans="2:8" x14ac:dyDescent="0.3">
      <c r="B16" s="14" t="s">
        <v>30</v>
      </c>
      <c r="C16" s="46">
        <f>C10</f>
        <v>0.16259999999999999</v>
      </c>
      <c r="D16" s="14" t="s">
        <v>84</v>
      </c>
    </row>
    <row r="17" spans="2:4" x14ac:dyDescent="0.3">
      <c r="B17" s="14" t="s">
        <v>27</v>
      </c>
      <c r="C17" s="46">
        <f>Inputs!B23</f>
        <v>0.08</v>
      </c>
      <c r="D17" s="14" t="s">
        <v>85</v>
      </c>
    </row>
    <row r="18" spans="2:4" x14ac:dyDescent="0.3">
      <c r="B18" s="14" t="s">
        <v>11</v>
      </c>
      <c r="C18" s="46">
        <f>Inputs!B10</f>
        <v>0.25169999999999998</v>
      </c>
      <c r="D18" s="14" t="s">
        <v>86</v>
      </c>
    </row>
    <row r="19" spans="2:4" x14ac:dyDescent="0.3">
      <c r="B19" s="14" t="s">
        <v>32</v>
      </c>
      <c r="C19" s="46">
        <f>C17*(1-C18)</f>
        <v>5.9864000000000001E-2</v>
      </c>
      <c r="D19" s="14" t="s">
        <v>87</v>
      </c>
    </row>
    <row r="20" spans="2:4" x14ac:dyDescent="0.3">
      <c r="B20" s="14" t="s">
        <v>16</v>
      </c>
      <c r="C20" s="46">
        <f>C14*C16+C15*C19</f>
        <v>0.16259999999999999</v>
      </c>
      <c r="D20" s="14" t="s">
        <v>88</v>
      </c>
    </row>
    <row r="21" spans="2:4" x14ac:dyDescent="0.3">
      <c r="B21" s="15"/>
      <c r="C21" s="24"/>
      <c r="D21" s="15"/>
    </row>
    <row r="22" spans="2:4" x14ac:dyDescent="0.3">
      <c r="B22" s="15"/>
      <c r="C22" s="24"/>
      <c r="D22" s="15"/>
    </row>
    <row r="23" spans="2:4" x14ac:dyDescent="0.3">
      <c r="B23" s="1" t="s">
        <v>89</v>
      </c>
      <c r="C23" s="45">
        <f>C20</f>
        <v>0.16259999999999999</v>
      </c>
      <c r="D23" s="15"/>
    </row>
  </sheetData>
  <mergeCells count="1">
    <mergeCell ref="B1:H1"/>
  </mergeCells>
  <printOptions horizontalCentered="1"/>
  <pageMargins left="0.5" right="0.5" top="0.5" bottom="0.5" header="0.3" footer="0.3"/>
  <pageSetup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577D-316F-4D0C-B8CC-818BA9710DAB}">
  <sheetPr>
    <tabColor rgb="FF006B6B"/>
    <pageSetUpPr fitToPage="1"/>
  </sheetPr>
  <dimension ref="A1:O140"/>
  <sheetViews>
    <sheetView showGridLines="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H6" sqref="H6"/>
    </sheetView>
  </sheetViews>
  <sheetFormatPr defaultRowHeight="13" x14ac:dyDescent="0.3"/>
  <cols>
    <col min="1" max="1" width="38.77734375" style="71" customWidth="1"/>
    <col min="2" max="2" width="10.77734375" style="54" customWidth="1"/>
    <col min="3" max="3" width="18.77734375" style="66" customWidth="1"/>
    <col min="4" max="14" width="12.77734375" style="66" customWidth="1"/>
    <col min="15" max="15" width="44.77734375" style="2" customWidth="1"/>
    <col min="16" max="16384" width="8.88671875" style="2"/>
  </cols>
  <sheetData>
    <row r="1" spans="1:14" x14ac:dyDescent="0.3">
      <c r="A1" s="131" t="s">
        <v>248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</row>
    <row r="2" spans="1:14" x14ac:dyDescent="0.3">
      <c r="A2" s="132" t="s">
        <v>249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spans="1:14" x14ac:dyDescent="0.3">
      <c r="A3" s="67"/>
      <c r="B3" s="72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x14ac:dyDescent="0.3">
      <c r="A4" s="68" t="s">
        <v>34</v>
      </c>
      <c r="B4" s="73" t="s">
        <v>52</v>
      </c>
      <c r="C4" s="62" t="s">
        <v>53</v>
      </c>
      <c r="D4" s="62" t="s">
        <v>54</v>
      </c>
      <c r="E4" s="62" t="s">
        <v>55</v>
      </c>
      <c r="F4" s="62" t="s">
        <v>56</v>
      </c>
      <c r="G4" s="62" t="s">
        <v>57</v>
      </c>
      <c r="H4" s="62" t="s">
        <v>35</v>
      </c>
      <c r="I4" s="62" t="s">
        <v>36</v>
      </c>
      <c r="J4" s="62" t="s">
        <v>37</v>
      </c>
      <c r="K4" s="62" t="s">
        <v>38</v>
      </c>
      <c r="L4" s="62" t="s">
        <v>39</v>
      </c>
      <c r="M4" s="62" t="s">
        <v>40</v>
      </c>
      <c r="N4" s="62" t="s">
        <v>41</v>
      </c>
    </row>
    <row r="5" spans="1:14" x14ac:dyDescent="0.3">
      <c r="A5" s="128" t="s">
        <v>250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</row>
    <row r="6" spans="1:14" x14ac:dyDescent="0.3">
      <c r="A6" s="69" t="s">
        <v>58</v>
      </c>
      <c r="B6" s="74" t="s">
        <v>271</v>
      </c>
      <c r="C6" s="76">
        <v>263.52999999999997</v>
      </c>
      <c r="D6" s="76">
        <v>472.97399999999999</v>
      </c>
      <c r="E6" s="76">
        <v>634.86599999999999</v>
      </c>
      <c r="F6" s="76">
        <v>849.49099999999999</v>
      </c>
      <c r="G6" s="76">
        <v>1042.1570999999999</v>
      </c>
      <c r="H6" s="81">
        <f>G6*(1+Inputs!B32)</f>
        <v>1229.7453779999998</v>
      </c>
      <c r="I6" s="81">
        <f>H6*(1+Inputs!C32)</f>
        <v>1426.5046384799998</v>
      </c>
      <c r="J6" s="81">
        <f>I6*(1+Inputs!D32)</f>
        <v>1626.2152878672</v>
      </c>
      <c r="K6" s="81">
        <f>J6*(1+Inputs!E32)</f>
        <v>1821.3611224112642</v>
      </c>
      <c r="L6" s="81">
        <f>K6*(1+Inputs!F32)</f>
        <v>2003.4972346523907</v>
      </c>
      <c r="M6" s="81">
        <f>L6*(1+Inputs!G32)</f>
        <v>2163.777013424582</v>
      </c>
      <c r="N6" s="81">
        <f>M6*(1+Inputs!H32)</f>
        <v>2293.6036342300572</v>
      </c>
    </row>
    <row r="7" spans="1:14" x14ac:dyDescent="0.3">
      <c r="A7" s="69" t="s">
        <v>59</v>
      </c>
      <c r="B7" s="74" t="s">
        <v>60</v>
      </c>
      <c r="C7" s="77"/>
      <c r="D7" s="77">
        <f t="shared" ref="D7:N7" si="0">D6/C6-1</f>
        <v>0.79476340454597216</v>
      </c>
      <c r="E7" s="77">
        <f t="shared" si="0"/>
        <v>0.34228519960928083</v>
      </c>
      <c r="F7" s="77">
        <f t="shared" si="0"/>
        <v>0.33806346536119425</v>
      </c>
      <c r="G7" s="77">
        <f t="shared" si="0"/>
        <v>0.22680181426289381</v>
      </c>
      <c r="H7" s="82">
        <f t="shared" si="0"/>
        <v>0.17999999999999994</v>
      </c>
      <c r="I7" s="82">
        <f t="shared" si="0"/>
        <v>0.15999999999999992</v>
      </c>
      <c r="J7" s="82">
        <f t="shared" si="0"/>
        <v>0.14000000000000012</v>
      </c>
      <c r="K7" s="82">
        <f t="shared" si="0"/>
        <v>0.12000000000000011</v>
      </c>
      <c r="L7" s="82">
        <f t="shared" si="0"/>
        <v>0.10000000000000009</v>
      </c>
      <c r="M7" s="82">
        <f t="shared" si="0"/>
        <v>8.0000000000000071E-2</v>
      </c>
      <c r="N7" s="82">
        <f t="shared" si="0"/>
        <v>6.0000000000000053E-2</v>
      </c>
    </row>
    <row r="8" spans="1:14" x14ac:dyDescent="0.3">
      <c r="A8" s="69" t="s">
        <v>255</v>
      </c>
      <c r="B8" s="74" t="s">
        <v>271</v>
      </c>
      <c r="C8" s="76"/>
      <c r="D8" s="76">
        <v>307.61200000000002</v>
      </c>
      <c r="E8" s="76">
        <v>444.63600000000002</v>
      </c>
      <c r="F8" s="76">
        <v>599.23800000000006</v>
      </c>
      <c r="G8" s="76">
        <v>703.19539999999995</v>
      </c>
      <c r="H8" s="81">
        <f>H6*(1-Inputs!B33)</f>
        <v>860.82176459999982</v>
      </c>
      <c r="I8" s="81">
        <f>I6*(1-Inputs!C33)</f>
        <v>998.55324693599982</v>
      </c>
      <c r="J8" s="81">
        <f>J6*(1-Inputs!D33)</f>
        <v>1138.35070150704</v>
      </c>
      <c r="K8" s="81">
        <f>K6*(1-Inputs!E33)</f>
        <v>1274.9527856878849</v>
      </c>
      <c r="L8" s="81">
        <f>L6*(1-Inputs!F33)</f>
        <v>1402.4480642566734</v>
      </c>
      <c r="M8" s="81">
        <f>M6*(1-Inputs!G33)</f>
        <v>1514.6439093972074</v>
      </c>
      <c r="N8" s="81">
        <f>N6*(1-Inputs!H33)</f>
        <v>1605.5225439610399</v>
      </c>
    </row>
    <row r="9" spans="1:14" x14ac:dyDescent="0.3">
      <c r="A9" s="69" t="s">
        <v>256</v>
      </c>
      <c r="B9" s="74" t="s">
        <v>60</v>
      </c>
      <c r="C9" s="77"/>
      <c r="D9" s="77">
        <f t="shared" ref="D9:N9" si="1">IFERROR(D8/D6,0)</f>
        <v>0.65037824489295404</v>
      </c>
      <c r="E9" s="77">
        <f t="shared" si="1"/>
        <v>0.70036196614718704</v>
      </c>
      <c r="F9" s="77">
        <f t="shared" si="1"/>
        <v>0.70540829743929023</v>
      </c>
      <c r="G9" s="77">
        <f t="shared" si="1"/>
        <v>0.67474990095063403</v>
      </c>
      <c r="H9" s="82">
        <f t="shared" si="1"/>
        <v>0.7</v>
      </c>
      <c r="I9" s="82">
        <f t="shared" si="1"/>
        <v>0.7</v>
      </c>
      <c r="J9" s="82">
        <f t="shared" si="1"/>
        <v>0.7</v>
      </c>
      <c r="K9" s="82">
        <f t="shared" si="1"/>
        <v>0.7</v>
      </c>
      <c r="L9" s="82">
        <f t="shared" si="1"/>
        <v>0.7</v>
      </c>
      <c r="M9" s="82">
        <f t="shared" si="1"/>
        <v>0.7</v>
      </c>
      <c r="N9" s="82">
        <f t="shared" si="1"/>
        <v>0.7</v>
      </c>
    </row>
    <row r="10" spans="1:14" x14ac:dyDescent="0.3">
      <c r="A10" s="78" t="s">
        <v>257</v>
      </c>
      <c r="B10" s="79" t="s">
        <v>271</v>
      </c>
      <c r="C10" s="80"/>
      <c r="D10" s="80">
        <f t="shared" ref="D10:N10" si="2">D6-D8</f>
        <v>165.36199999999997</v>
      </c>
      <c r="E10" s="80">
        <f t="shared" si="2"/>
        <v>190.22999999999996</v>
      </c>
      <c r="F10" s="80">
        <f t="shared" si="2"/>
        <v>250.25299999999993</v>
      </c>
      <c r="G10" s="80">
        <f t="shared" si="2"/>
        <v>338.96169999999995</v>
      </c>
      <c r="H10" s="83">
        <f t="shared" si="2"/>
        <v>368.92361340000002</v>
      </c>
      <c r="I10" s="83">
        <f t="shared" si="2"/>
        <v>427.95139154399999</v>
      </c>
      <c r="J10" s="83">
        <f t="shared" si="2"/>
        <v>487.86458636016005</v>
      </c>
      <c r="K10" s="83">
        <f t="shared" si="2"/>
        <v>546.40833672337931</v>
      </c>
      <c r="L10" s="83">
        <f t="shared" si="2"/>
        <v>601.04917039571728</v>
      </c>
      <c r="M10" s="83">
        <f t="shared" si="2"/>
        <v>649.13310402737466</v>
      </c>
      <c r="N10" s="83">
        <f t="shared" si="2"/>
        <v>688.0810902690173</v>
      </c>
    </row>
    <row r="11" spans="1:14" x14ac:dyDescent="0.3">
      <c r="A11" s="69" t="s">
        <v>244</v>
      </c>
      <c r="B11" s="74" t="s">
        <v>60</v>
      </c>
      <c r="C11" s="77"/>
      <c r="D11" s="77">
        <f t="shared" ref="D11:N11" si="3">IFERROR(D10/D6,0)</f>
        <v>0.34962175510704602</v>
      </c>
      <c r="E11" s="77">
        <f t="shared" si="3"/>
        <v>0.29963803385281296</v>
      </c>
      <c r="F11" s="77">
        <f t="shared" si="3"/>
        <v>0.29459170256070982</v>
      </c>
      <c r="G11" s="77">
        <f t="shared" si="3"/>
        <v>0.32525009904936597</v>
      </c>
      <c r="H11" s="82">
        <f t="shared" si="3"/>
        <v>0.30000000000000004</v>
      </c>
      <c r="I11" s="82">
        <f t="shared" si="3"/>
        <v>0.30000000000000004</v>
      </c>
      <c r="J11" s="82">
        <f t="shared" si="3"/>
        <v>0.30000000000000004</v>
      </c>
      <c r="K11" s="82">
        <f t="shared" si="3"/>
        <v>0.30000000000000004</v>
      </c>
      <c r="L11" s="82">
        <f t="shared" si="3"/>
        <v>0.30000000000000004</v>
      </c>
      <c r="M11" s="82">
        <f t="shared" si="3"/>
        <v>0.30000000000000004</v>
      </c>
      <c r="N11" s="82">
        <f t="shared" si="3"/>
        <v>0.30000000000000004</v>
      </c>
    </row>
    <row r="12" spans="1:14" x14ac:dyDescent="0.3">
      <c r="A12" s="69" t="s">
        <v>258</v>
      </c>
      <c r="B12" s="74" t="s">
        <v>271</v>
      </c>
      <c r="C12" s="76"/>
      <c r="D12" s="76">
        <v>4.0430000000000001</v>
      </c>
      <c r="E12" s="76">
        <v>6.6879999999999997</v>
      </c>
      <c r="F12" s="76">
        <v>19.161999999999999</v>
      </c>
      <c r="G12" s="76">
        <v>30.345099999999999</v>
      </c>
      <c r="H12" s="81">
        <f>H6*Inputs!B34</f>
        <v>36.892361339999994</v>
      </c>
      <c r="I12" s="81">
        <f>I6*Inputs!C34</f>
        <v>42.79513915439999</v>
      </c>
      <c r="J12" s="81">
        <f>J6*Inputs!D34</f>
        <v>48.786458636016</v>
      </c>
      <c r="K12" s="81">
        <f>K6*Inputs!E34</f>
        <v>54.640833672337926</v>
      </c>
      <c r="L12" s="81">
        <f>L6*Inputs!F34</f>
        <v>60.104917039571717</v>
      </c>
      <c r="M12" s="81">
        <f>M6*Inputs!G34</f>
        <v>64.913310402737466</v>
      </c>
      <c r="N12" s="81">
        <f>N6*Inputs!H34</f>
        <v>68.808109026901718</v>
      </c>
    </row>
    <row r="13" spans="1:14" x14ac:dyDescent="0.3">
      <c r="A13" s="69" t="s">
        <v>259</v>
      </c>
      <c r="B13" s="74" t="s">
        <v>60</v>
      </c>
      <c r="C13" s="77"/>
      <c r="D13" s="77">
        <f t="shared" ref="D13:N13" si="4">IFERROR(D12/D6,0)</f>
        <v>8.5480385814019379E-3</v>
      </c>
      <c r="E13" s="77">
        <f t="shared" si="4"/>
        <v>1.0534506494283833E-2</v>
      </c>
      <c r="F13" s="77">
        <f t="shared" si="4"/>
        <v>2.2557037096331802E-2</v>
      </c>
      <c r="G13" s="77">
        <f t="shared" si="4"/>
        <v>2.9117586974171172E-2</v>
      </c>
      <c r="H13" s="82">
        <f t="shared" si="4"/>
        <v>0.03</v>
      </c>
      <c r="I13" s="82">
        <f t="shared" si="4"/>
        <v>0.03</v>
      </c>
      <c r="J13" s="82">
        <f t="shared" si="4"/>
        <v>0.03</v>
      </c>
      <c r="K13" s="82">
        <f t="shared" si="4"/>
        <v>0.03</v>
      </c>
      <c r="L13" s="82">
        <f t="shared" si="4"/>
        <v>0.03</v>
      </c>
      <c r="M13" s="82">
        <f t="shared" si="4"/>
        <v>3.0000000000000002E-2</v>
      </c>
      <c r="N13" s="82">
        <f t="shared" si="4"/>
        <v>3.0000000000000002E-2</v>
      </c>
    </row>
    <row r="14" spans="1:14" x14ac:dyDescent="0.3">
      <c r="A14" s="69" t="s">
        <v>319</v>
      </c>
      <c r="B14" s="74" t="s">
        <v>271</v>
      </c>
      <c r="C14" s="76"/>
      <c r="D14" s="76">
        <v>2.7E-2</v>
      </c>
      <c r="E14" s="76">
        <v>1.339</v>
      </c>
      <c r="F14" s="76">
        <v>0.26200000000000001</v>
      </c>
      <c r="G14" s="76">
        <v>0</v>
      </c>
      <c r="H14" s="81">
        <f>H6*Inputs!B35</f>
        <v>12.297453779999998</v>
      </c>
      <c r="I14" s="81">
        <f>I6*Inputs!C35</f>
        <v>14.265046384799998</v>
      </c>
      <c r="J14" s="81">
        <f>J6*Inputs!D35</f>
        <v>16.262152878672001</v>
      </c>
      <c r="K14" s="81">
        <f>K6*Inputs!E35</f>
        <v>18.213611224112643</v>
      </c>
      <c r="L14" s="81">
        <f>L6*Inputs!F35</f>
        <v>20.034972346523908</v>
      </c>
      <c r="M14" s="81">
        <f>M6*Inputs!G35</f>
        <v>21.63777013424582</v>
      </c>
      <c r="N14" s="81">
        <f>N6*Inputs!H35</f>
        <v>22.936036342300572</v>
      </c>
    </row>
    <row r="15" spans="1:14" x14ac:dyDescent="0.3">
      <c r="A15" s="69" t="s">
        <v>320</v>
      </c>
      <c r="B15" s="74" t="s">
        <v>60</v>
      </c>
      <c r="C15" s="77"/>
      <c r="D15" s="77">
        <f t="shared" ref="D15:N15" si="5">IFERROR(D14/D6,0)</f>
        <v>5.7085590328432431E-5</v>
      </c>
      <c r="E15" s="77">
        <f t="shared" si="5"/>
        <v>2.109106488613345E-3</v>
      </c>
      <c r="F15" s="77">
        <f t="shared" si="5"/>
        <v>3.0841998326056427E-4</v>
      </c>
      <c r="G15" s="77">
        <f t="shared" si="5"/>
        <v>0</v>
      </c>
      <c r="H15" s="82">
        <f t="shared" si="5"/>
        <v>0.01</v>
      </c>
      <c r="I15" s="82">
        <f t="shared" si="5"/>
        <v>0.01</v>
      </c>
      <c r="J15" s="82">
        <f t="shared" si="5"/>
        <v>0.01</v>
      </c>
      <c r="K15" s="82">
        <f t="shared" si="5"/>
        <v>0.01</v>
      </c>
      <c r="L15" s="82">
        <f t="shared" si="5"/>
        <v>0.01</v>
      </c>
      <c r="M15" s="82">
        <f t="shared" si="5"/>
        <v>0.01</v>
      </c>
      <c r="N15" s="82">
        <f t="shared" si="5"/>
        <v>0.01</v>
      </c>
    </row>
    <row r="16" spans="1:14" x14ac:dyDescent="0.3">
      <c r="A16" s="69" t="s">
        <v>321</v>
      </c>
      <c r="B16" s="74" t="s">
        <v>271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81">
        <f>H6*Inputs!B36</f>
        <v>0</v>
      </c>
      <c r="I16" s="81">
        <f>I6*Inputs!C36</f>
        <v>0</v>
      </c>
      <c r="J16" s="81">
        <f>J6*Inputs!D36</f>
        <v>0</v>
      </c>
      <c r="K16" s="81">
        <f>K6*Inputs!E36</f>
        <v>0</v>
      </c>
      <c r="L16" s="81">
        <f>L6*Inputs!F36</f>
        <v>0</v>
      </c>
      <c r="M16" s="81">
        <f>M6*Inputs!G36</f>
        <v>0</v>
      </c>
      <c r="N16" s="81">
        <f>N6*Inputs!H36</f>
        <v>0</v>
      </c>
    </row>
    <row r="17" spans="1:14" x14ac:dyDescent="0.3">
      <c r="A17" s="69" t="s">
        <v>322</v>
      </c>
      <c r="B17" s="74" t="s">
        <v>60</v>
      </c>
      <c r="C17" s="77"/>
      <c r="D17" s="77">
        <f t="shared" ref="D17:N17" si="6">IFERROR(D16/D6,0)</f>
        <v>0</v>
      </c>
      <c r="E17" s="77">
        <f t="shared" si="6"/>
        <v>0</v>
      </c>
      <c r="F17" s="77">
        <f t="shared" si="6"/>
        <v>0</v>
      </c>
      <c r="G17" s="77">
        <f t="shared" si="6"/>
        <v>0</v>
      </c>
      <c r="H17" s="82">
        <f t="shared" si="6"/>
        <v>0</v>
      </c>
      <c r="I17" s="82">
        <f t="shared" si="6"/>
        <v>0</v>
      </c>
      <c r="J17" s="82">
        <f t="shared" si="6"/>
        <v>0</v>
      </c>
      <c r="K17" s="82">
        <f t="shared" si="6"/>
        <v>0</v>
      </c>
      <c r="L17" s="82">
        <f t="shared" si="6"/>
        <v>0</v>
      </c>
      <c r="M17" s="82">
        <f t="shared" si="6"/>
        <v>0</v>
      </c>
      <c r="N17" s="82">
        <f t="shared" si="6"/>
        <v>0</v>
      </c>
    </row>
    <row r="18" spans="1:14" x14ac:dyDescent="0.3">
      <c r="A18" s="69" t="s">
        <v>260</v>
      </c>
      <c r="B18" s="74" t="s">
        <v>271</v>
      </c>
      <c r="C18" s="76"/>
      <c r="D18" s="76">
        <v>54.006999999999998</v>
      </c>
      <c r="E18" s="76">
        <v>109.559</v>
      </c>
      <c r="F18" s="76">
        <v>18.007000000000001</v>
      </c>
      <c r="G18" s="76">
        <v>26.194700000000001</v>
      </c>
      <c r="H18" s="81">
        <f>H6*Inputs!B37</f>
        <v>24.594907559999996</v>
      </c>
      <c r="I18" s="81">
        <f>I6*Inputs!C37</f>
        <v>28.530092769599996</v>
      </c>
      <c r="J18" s="81">
        <f>J6*Inputs!D37</f>
        <v>32.524305757344003</v>
      </c>
      <c r="K18" s="81">
        <f>K6*Inputs!E37</f>
        <v>36.427222448225287</v>
      </c>
      <c r="L18" s="81">
        <f>L6*Inputs!F37</f>
        <v>40.069944693047816</v>
      </c>
      <c r="M18" s="81">
        <f>M6*Inputs!G37</f>
        <v>43.275540268491639</v>
      </c>
      <c r="N18" s="81">
        <f>N6*Inputs!H37</f>
        <v>45.872072684601143</v>
      </c>
    </row>
    <row r="19" spans="1:14" x14ac:dyDescent="0.3">
      <c r="A19" s="69" t="s">
        <v>246</v>
      </c>
      <c r="B19" s="74" t="s">
        <v>60</v>
      </c>
      <c r="C19" s="77"/>
      <c r="D19" s="77">
        <f t="shared" ref="D19:N19" si="7">IFERROR(D18/D6,0)</f>
        <v>0.11418598062472779</v>
      </c>
      <c r="E19" s="77">
        <f t="shared" si="7"/>
        <v>0.17257027467213554</v>
      </c>
      <c r="F19" s="77">
        <f t="shared" si="7"/>
        <v>2.119739938386634E-2</v>
      </c>
      <c r="G19" s="77">
        <f t="shared" si="7"/>
        <v>2.5135078003114888E-2</v>
      </c>
      <c r="H19" s="82">
        <f t="shared" si="7"/>
        <v>0.02</v>
      </c>
      <c r="I19" s="82">
        <f t="shared" si="7"/>
        <v>0.02</v>
      </c>
      <c r="J19" s="82">
        <f t="shared" si="7"/>
        <v>0.02</v>
      </c>
      <c r="K19" s="82">
        <f t="shared" si="7"/>
        <v>0.02</v>
      </c>
      <c r="L19" s="82">
        <f t="shared" si="7"/>
        <v>0.02</v>
      </c>
      <c r="M19" s="82">
        <f t="shared" si="7"/>
        <v>0.02</v>
      </c>
      <c r="N19" s="82">
        <f t="shared" si="7"/>
        <v>0.02</v>
      </c>
    </row>
    <row r="20" spans="1:14" x14ac:dyDescent="0.3">
      <c r="A20" s="78" t="s">
        <v>61</v>
      </c>
      <c r="B20" s="79" t="s">
        <v>271</v>
      </c>
      <c r="C20" s="80"/>
      <c r="D20" s="80">
        <f t="shared" ref="D20:N20" si="8">D10-D12-D14-D16-D18</f>
        <v>107.28499999999997</v>
      </c>
      <c r="E20" s="80">
        <f t="shared" si="8"/>
        <v>72.643999999999977</v>
      </c>
      <c r="F20" s="80">
        <f t="shared" si="8"/>
        <v>212.82199999999992</v>
      </c>
      <c r="G20" s="80">
        <f t="shared" si="8"/>
        <v>282.42189999999994</v>
      </c>
      <c r="H20" s="83">
        <f t="shared" si="8"/>
        <v>295.13889072000006</v>
      </c>
      <c r="I20" s="83">
        <f t="shared" si="8"/>
        <v>342.36111323520004</v>
      </c>
      <c r="J20" s="83">
        <f t="shared" si="8"/>
        <v>390.29166908812806</v>
      </c>
      <c r="K20" s="83">
        <f t="shared" si="8"/>
        <v>437.12666937870347</v>
      </c>
      <c r="L20" s="83">
        <f t="shared" si="8"/>
        <v>480.83933631657379</v>
      </c>
      <c r="M20" s="83">
        <f t="shared" si="8"/>
        <v>519.30648322189973</v>
      </c>
      <c r="N20" s="83">
        <f t="shared" si="8"/>
        <v>550.46487221521386</v>
      </c>
    </row>
    <row r="21" spans="1:14" x14ac:dyDescent="0.3">
      <c r="A21" s="69" t="s">
        <v>62</v>
      </c>
      <c r="B21" s="74" t="s">
        <v>60</v>
      </c>
      <c r="C21" s="77"/>
      <c r="D21" s="77">
        <f t="shared" ref="D21:N21" si="9">IFERROR(D20/D6,0)</f>
        <v>0.22683065031058783</v>
      </c>
      <c r="E21" s="77">
        <f t="shared" si="9"/>
        <v>0.11442414619778028</v>
      </c>
      <c r="F21" s="77">
        <f t="shared" si="9"/>
        <v>0.25052884609725107</v>
      </c>
      <c r="G21" s="77">
        <f t="shared" si="9"/>
        <v>0.27099743407207988</v>
      </c>
      <c r="H21" s="82">
        <f t="shared" si="9"/>
        <v>0.24000000000000007</v>
      </c>
      <c r="I21" s="82">
        <f t="shared" si="9"/>
        <v>0.24000000000000005</v>
      </c>
      <c r="J21" s="82">
        <f t="shared" si="9"/>
        <v>0.24000000000000005</v>
      </c>
      <c r="K21" s="82">
        <f t="shared" si="9"/>
        <v>0.24000000000000002</v>
      </c>
      <c r="L21" s="82">
        <f t="shared" si="9"/>
        <v>0.24000000000000002</v>
      </c>
      <c r="M21" s="82">
        <f t="shared" si="9"/>
        <v>0.24000000000000002</v>
      </c>
      <c r="N21" s="82">
        <f t="shared" si="9"/>
        <v>0.24000000000000005</v>
      </c>
    </row>
    <row r="22" spans="1:14" x14ac:dyDescent="0.3">
      <c r="A22" s="69" t="s">
        <v>63</v>
      </c>
      <c r="B22" s="74" t="s">
        <v>271</v>
      </c>
      <c r="C22" s="76"/>
      <c r="D22" s="76">
        <v>2.153</v>
      </c>
      <c r="E22" s="76">
        <v>13.433</v>
      </c>
      <c r="F22" s="76">
        <v>45.655000000000001</v>
      </c>
      <c r="G22" s="76">
        <v>27.3628</v>
      </c>
      <c r="H22" s="81">
        <f>H6*Inputs!B39</f>
        <v>30.743634449999998</v>
      </c>
      <c r="I22" s="81">
        <f>I6*Inputs!C39</f>
        <v>35.662615961999997</v>
      </c>
      <c r="J22" s="81">
        <f>J6*Inputs!D39</f>
        <v>40.655382196680002</v>
      </c>
      <c r="K22" s="81">
        <f>K6*Inputs!E39</f>
        <v>45.534028060281607</v>
      </c>
      <c r="L22" s="81">
        <f>L6*Inputs!F39</f>
        <v>50.087430866309774</v>
      </c>
      <c r="M22" s="81">
        <f>M6*Inputs!G39</f>
        <v>54.094425335614552</v>
      </c>
      <c r="N22" s="81">
        <f>N6*Inputs!H39</f>
        <v>57.340090855751434</v>
      </c>
    </row>
    <row r="23" spans="1:14" x14ac:dyDescent="0.3">
      <c r="A23" s="69" t="s">
        <v>64</v>
      </c>
      <c r="B23" s="74" t="s">
        <v>60</v>
      </c>
      <c r="C23" s="77"/>
      <c r="D23" s="77">
        <f t="shared" ref="D23:N23" si="10">IFERROR(D22/D6,0)</f>
        <v>4.552047258411668E-3</v>
      </c>
      <c r="E23" s="77">
        <f t="shared" si="10"/>
        <v>2.1158795714371223E-2</v>
      </c>
      <c r="F23" s="77">
        <f t="shared" si="10"/>
        <v>5.3743947846416271E-2</v>
      </c>
      <c r="G23" s="77">
        <f t="shared" si="10"/>
        <v>2.625592628980794E-2</v>
      </c>
      <c r="H23" s="82">
        <f t="shared" si="10"/>
        <v>2.5000000000000001E-2</v>
      </c>
      <c r="I23" s="82">
        <f t="shared" si="10"/>
        <v>2.5000000000000001E-2</v>
      </c>
      <c r="J23" s="82">
        <f t="shared" si="10"/>
        <v>2.5000000000000001E-2</v>
      </c>
      <c r="K23" s="82">
        <f t="shared" si="10"/>
        <v>2.5000000000000001E-2</v>
      </c>
      <c r="L23" s="82">
        <f t="shared" si="10"/>
        <v>2.5000000000000001E-2</v>
      </c>
      <c r="M23" s="82">
        <f t="shared" si="10"/>
        <v>2.5000000000000001E-2</v>
      </c>
      <c r="N23" s="82">
        <f t="shared" si="10"/>
        <v>2.5000000000000001E-2</v>
      </c>
    </row>
    <row r="24" spans="1:14" x14ac:dyDescent="0.3">
      <c r="A24" s="78" t="s">
        <v>65</v>
      </c>
      <c r="B24" s="79" t="s">
        <v>271</v>
      </c>
      <c r="C24" s="80"/>
      <c r="D24" s="80">
        <f t="shared" ref="D24:N24" si="11">D20-D22</f>
        <v>105.13199999999996</v>
      </c>
      <c r="E24" s="80">
        <f t="shared" si="11"/>
        <v>59.210999999999977</v>
      </c>
      <c r="F24" s="80">
        <f t="shared" si="11"/>
        <v>167.16699999999992</v>
      </c>
      <c r="G24" s="80">
        <f t="shared" si="11"/>
        <v>255.05909999999994</v>
      </c>
      <c r="H24" s="83">
        <f t="shared" si="11"/>
        <v>264.39525627000006</v>
      </c>
      <c r="I24" s="83">
        <f t="shared" si="11"/>
        <v>306.69849727320002</v>
      </c>
      <c r="J24" s="83">
        <f t="shared" si="11"/>
        <v>349.63628689144804</v>
      </c>
      <c r="K24" s="83">
        <f t="shared" si="11"/>
        <v>391.59264131842184</v>
      </c>
      <c r="L24" s="83">
        <f t="shared" si="11"/>
        <v>430.75190545026402</v>
      </c>
      <c r="M24" s="83">
        <f t="shared" si="11"/>
        <v>465.21205788628515</v>
      </c>
      <c r="N24" s="83">
        <f t="shared" si="11"/>
        <v>493.12478135946242</v>
      </c>
    </row>
    <row r="25" spans="1:14" x14ac:dyDescent="0.3">
      <c r="A25" s="69" t="s">
        <v>66</v>
      </c>
      <c r="B25" s="74" t="s">
        <v>271</v>
      </c>
      <c r="C25" s="76"/>
      <c r="D25" s="76">
        <v>26.461724400000001</v>
      </c>
      <c r="E25" s="76">
        <v>14.9034087</v>
      </c>
      <c r="F25" s="76">
        <v>42.075933900000003</v>
      </c>
      <c r="G25" s="76">
        <v>64.198375470000002</v>
      </c>
      <c r="H25" s="81">
        <f>MAX(0,H24*Inputs!$B$10)</f>
        <v>66.548286003159006</v>
      </c>
      <c r="I25" s="81">
        <f>MAX(0,I24*Inputs!$B$10)</f>
        <v>77.196011763664444</v>
      </c>
      <c r="J25" s="81">
        <f>MAX(0,J24*Inputs!$B$10)</f>
        <v>88.003453410577464</v>
      </c>
      <c r="K25" s="81">
        <f>MAX(0,K24*Inputs!$B$10)</f>
        <v>98.563867819846763</v>
      </c>
      <c r="L25" s="81">
        <f>MAX(0,L24*Inputs!$B$10)</f>
        <v>108.42025460183145</v>
      </c>
      <c r="M25" s="81">
        <f>MAX(0,M24*Inputs!$B$10)</f>
        <v>117.09387496997796</v>
      </c>
      <c r="N25" s="81">
        <f>MAX(0,N24*Inputs!$B$10)</f>
        <v>124.11950746817668</v>
      </c>
    </row>
    <row r="26" spans="1:14" x14ac:dyDescent="0.3">
      <c r="A26" s="78" t="s">
        <v>67</v>
      </c>
      <c r="B26" s="79" t="s">
        <v>271</v>
      </c>
      <c r="C26" s="80"/>
      <c r="D26" s="80">
        <f t="shared" ref="D26:N26" si="12">D24-D25</f>
        <v>78.670275599999968</v>
      </c>
      <c r="E26" s="80">
        <f t="shared" si="12"/>
        <v>44.307591299999977</v>
      </c>
      <c r="F26" s="80">
        <f t="shared" si="12"/>
        <v>125.09106609999992</v>
      </c>
      <c r="G26" s="80">
        <f t="shared" si="12"/>
        <v>190.86072452999994</v>
      </c>
      <c r="H26" s="83">
        <f t="shared" si="12"/>
        <v>197.84697026684105</v>
      </c>
      <c r="I26" s="83">
        <f t="shared" si="12"/>
        <v>229.50248550953557</v>
      </c>
      <c r="J26" s="83">
        <f t="shared" si="12"/>
        <v>261.63283348087054</v>
      </c>
      <c r="K26" s="83">
        <f t="shared" si="12"/>
        <v>293.02877349857511</v>
      </c>
      <c r="L26" s="83">
        <f t="shared" si="12"/>
        <v>322.33165084843256</v>
      </c>
      <c r="M26" s="83">
        <f t="shared" si="12"/>
        <v>348.11818291630721</v>
      </c>
      <c r="N26" s="83">
        <f t="shared" si="12"/>
        <v>369.00527389128575</v>
      </c>
    </row>
    <row r="27" spans="1:14" x14ac:dyDescent="0.3">
      <c r="A27" s="128" t="s">
        <v>251</v>
      </c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</row>
    <row r="28" spans="1:14" x14ac:dyDescent="0.3">
      <c r="A28" s="69" t="s">
        <v>68</v>
      </c>
      <c r="B28" s="74" t="s">
        <v>271</v>
      </c>
      <c r="C28" s="76"/>
      <c r="D28" s="76">
        <v>1.466</v>
      </c>
      <c r="E28" s="76">
        <v>120.08199999999999</v>
      </c>
      <c r="F28" s="76">
        <v>1.077</v>
      </c>
      <c r="G28" s="76">
        <v>16.888999999999999</v>
      </c>
      <c r="H28" s="81">
        <f>H6*Inputs!B40</f>
        <v>24.594907559999996</v>
      </c>
      <c r="I28" s="81">
        <f>I6*Inputs!C40</f>
        <v>28.530092769599996</v>
      </c>
      <c r="J28" s="81">
        <f>J6*Inputs!D40</f>
        <v>32.524305757344003</v>
      </c>
      <c r="K28" s="81">
        <f>K6*Inputs!E40</f>
        <v>36.427222448225287</v>
      </c>
      <c r="L28" s="81">
        <f>L6*Inputs!F40</f>
        <v>40.069944693047816</v>
      </c>
      <c r="M28" s="81">
        <f>M6*Inputs!G40</f>
        <v>43.275540268491639</v>
      </c>
      <c r="N28" s="81">
        <f>N6*Inputs!H40</f>
        <v>45.872072684601143</v>
      </c>
    </row>
    <row r="29" spans="1:14" x14ac:dyDescent="0.3">
      <c r="A29" s="69" t="s">
        <v>69</v>
      </c>
      <c r="B29" s="74" t="s">
        <v>60</v>
      </c>
      <c r="C29" s="77"/>
      <c r="D29" s="77">
        <f t="shared" ref="D29:N29" si="13">IFERROR(D28/D6,0)</f>
        <v>3.0995361267215533E-3</v>
      </c>
      <c r="E29" s="77">
        <f t="shared" si="13"/>
        <v>0.18914542596390418</v>
      </c>
      <c r="F29" s="77">
        <f t="shared" si="13"/>
        <v>1.2678180227924721E-3</v>
      </c>
      <c r="G29" s="77">
        <f t="shared" si="13"/>
        <v>1.6205810045337696E-2</v>
      </c>
      <c r="H29" s="82">
        <f t="shared" si="13"/>
        <v>0.02</v>
      </c>
      <c r="I29" s="82">
        <f t="shared" si="13"/>
        <v>0.02</v>
      </c>
      <c r="J29" s="82">
        <f t="shared" si="13"/>
        <v>0.02</v>
      </c>
      <c r="K29" s="82">
        <f t="shared" si="13"/>
        <v>0.02</v>
      </c>
      <c r="L29" s="82">
        <f t="shared" si="13"/>
        <v>0.02</v>
      </c>
      <c r="M29" s="82">
        <f t="shared" si="13"/>
        <v>0.02</v>
      </c>
      <c r="N29" s="82">
        <f t="shared" si="13"/>
        <v>0.02</v>
      </c>
    </row>
    <row r="30" spans="1:14" x14ac:dyDescent="0.3">
      <c r="A30" s="69" t="s">
        <v>70</v>
      </c>
      <c r="B30" s="74" t="s">
        <v>271</v>
      </c>
      <c r="C30" s="76"/>
      <c r="D30" s="76">
        <v>-25.8645507945206</v>
      </c>
      <c r="E30" s="76">
        <v>37.848449753424703</v>
      </c>
      <c r="F30" s="76">
        <v>-4.1892706849315102</v>
      </c>
      <c r="G30" s="76">
        <v>4.9109868821917804</v>
      </c>
      <c r="H30" s="81">
        <f>H6*Inputs!B41</f>
        <v>12.297453779999998</v>
      </c>
      <c r="I30" s="81">
        <f>I6*Inputs!C41</f>
        <v>14.265046384799998</v>
      </c>
      <c r="J30" s="81">
        <f>J6*Inputs!D41</f>
        <v>16.262152878672001</v>
      </c>
      <c r="K30" s="81">
        <f>K6*Inputs!E41</f>
        <v>18.213611224112643</v>
      </c>
      <c r="L30" s="81">
        <f>L6*Inputs!F41</f>
        <v>20.034972346523908</v>
      </c>
      <c r="M30" s="81">
        <f>M6*Inputs!G41</f>
        <v>21.63777013424582</v>
      </c>
      <c r="N30" s="81">
        <f>N6*Inputs!H41</f>
        <v>22.936036342300572</v>
      </c>
    </row>
    <row r="31" spans="1:14" x14ac:dyDescent="0.3">
      <c r="A31" s="69" t="s">
        <v>71</v>
      </c>
      <c r="B31" s="74" t="s">
        <v>60</v>
      </c>
      <c r="C31" s="77"/>
      <c r="D31" s="77">
        <f t="shared" ref="D31:N31" si="14">IFERROR(D30/D6,0)</f>
        <v>-5.468493150684943E-2</v>
      </c>
      <c r="E31" s="77">
        <f t="shared" si="14"/>
        <v>5.9616438356164453E-2</v>
      </c>
      <c r="F31" s="77">
        <f t="shared" si="14"/>
        <v>-4.9315068493150727E-3</v>
      </c>
      <c r="G31" s="77">
        <f t="shared" si="14"/>
        <v>4.7123287671232876E-3</v>
      </c>
      <c r="H31" s="82">
        <f t="shared" si="14"/>
        <v>0.01</v>
      </c>
      <c r="I31" s="82">
        <f t="shared" si="14"/>
        <v>0.01</v>
      </c>
      <c r="J31" s="82">
        <f t="shared" si="14"/>
        <v>0.01</v>
      </c>
      <c r="K31" s="82">
        <f t="shared" si="14"/>
        <v>0.01</v>
      </c>
      <c r="L31" s="82">
        <f t="shared" si="14"/>
        <v>0.01</v>
      </c>
      <c r="M31" s="82">
        <f t="shared" si="14"/>
        <v>0.01</v>
      </c>
      <c r="N31" s="82">
        <f t="shared" si="14"/>
        <v>0.01</v>
      </c>
    </row>
    <row r="32" spans="1:14" x14ac:dyDescent="0.3">
      <c r="A32" s="78" t="s">
        <v>72</v>
      </c>
      <c r="B32" s="79" t="s">
        <v>271</v>
      </c>
      <c r="C32" s="80"/>
      <c r="D32" s="80">
        <v>-25.8645507945206</v>
      </c>
      <c r="E32" s="80">
        <v>63.7130005479452</v>
      </c>
      <c r="F32" s="80">
        <v>-42.037720438356203</v>
      </c>
      <c r="G32" s="80">
        <v>9.1002575671232897</v>
      </c>
      <c r="H32" s="83">
        <f t="shared" ref="H32:N32" si="15">H30-G30</f>
        <v>7.3864668978082175</v>
      </c>
      <c r="I32" s="83">
        <f t="shared" si="15"/>
        <v>1.9675926048000001</v>
      </c>
      <c r="J32" s="83">
        <f t="shared" si="15"/>
        <v>1.9971064938720033</v>
      </c>
      <c r="K32" s="83">
        <f t="shared" si="15"/>
        <v>1.951458345440642</v>
      </c>
      <c r="L32" s="83">
        <f t="shared" si="15"/>
        <v>1.8213611224112647</v>
      </c>
      <c r="M32" s="83">
        <f t="shared" si="15"/>
        <v>1.6027977877219115</v>
      </c>
      <c r="N32" s="83">
        <f t="shared" si="15"/>
        <v>1.298266208054752</v>
      </c>
    </row>
    <row r="33" spans="1:14" x14ac:dyDescent="0.3">
      <c r="A33" s="69"/>
      <c r="B33" s="74"/>
      <c r="C33" s="63"/>
      <c r="D33" s="63"/>
      <c r="E33" s="63"/>
      <c r="F33" s="63"/>
      <c r="G33" s="63"/>
      <c r="H33" s="84"/>
      <c r="I33" s="84"/>
      <c r="J33" s="84"/>
      <c r="K33" s="84"/>
      <c r="L33" s="84"/>
      <c r="M33" s="84"/>
      <c r="N33" s="84"/>
    </row>
    <row r="34" spans="1:14" x14ac:dyDescent="0.3">
      <c r="A34" s="128" t="s">
        <v>252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</row>
    <row r="35" spans="1:14" x14ac:dyDescent="0.3">
      <c r="A35" s="69" t="s">
        <v>261</v>
      </c>
      <c r="B35" s="74" t="s">
        <v>271</v>
      </c>
      <c r="C35" s="76"/>
      <c r="D35" s="76">
        <v>52.95</v>
      </c>
      <c r="E35" s="76">
        <v>177.767</v>
      </c>
      <c r="F35" s="76">
        <v>279.12599999999998</v>
      </c>
      <c r="G35" s="76">
        <v>301.15390000000002</v>
      </c>
      <c r="H35" s="81">
        <f t="shared" ref="H35:N35" si="16">G35+H28-H22</f>
        <v>295.00517311000004</v>
      </c>
      <c r="I35" s="81">
        <f t="shared" si="16"/>
        <v>287.87264991760003</v>
      </c>
      <c r="J35" s="81">
        <f t="shared" si="16"/>
        <v>279.741573478264</v>
      </c>
      <c r="K35" s="81">
        <f t="shared" si="16"/>
        <v>270.63476786620765</v>
      </c>
      <c r="L35" s="81">
        <f t="shared" si="16"/>
        <v>260.61728169294571</v>
      </c>
      <c r="M35" s="81">
        <f t="shared" si="16"/>
        <v>249.79839662582279</v>
      </c>
      <c r="N35" s="81">
        <f t="shared" si="16"/>
        <v>238.33037845467248</v>
      </c>
    </row>
    <row r="36" spans="1:14" x14ac:dyDescent="0.3">
      <c r="A36" s="69" t="s">
        <v>262</v>
      </c>
      <c r="B36" s="74" t="s">
        <v>271</v>
      </c>
      <c r="C36" s="76"/>
      <c r="D36" s="76">
        <v>179.113</v>
      </c>
      <c r="E36" s="76">
        <v>413.26</v>
      </c>
      <c r="F36" s="76">
        <v>598.61400000000003</v>
      </c>
      <c r="G36" s="76">
        <v>574.42409999999995</v>
      </c>
      <c r="H36" s="81">
        <f t="shared" ref="H36:N36" si="17">H6*($G36/$G$6)</f>
        <v>677.82043799999997</v>
      </c>
      <c r="I36" s="81">
        <f t="shared" si="17"/>
        <v>786.27170807999994</v>
      </c>
      <c r="J36" s="81">
        <f t="shared" si="17"/>
        <v>896.34974721120011</v>
      </c>
      <c r="K36" s="81">
        <f t="shared" si="17"/>
        <v>1003.9117168765442</v>
      </c>
      <c r="L36" s="81">
        <f t="shared" si="17"/>
        <v>1104.3028885641986</v>
      </c>
      <c r="M36" s="81">
        <f t="shared" si="17"/>
        <v>1192.6471196493346</v>
      </c>
      <c r="N36" s="81">
        <f t="shared" si="17"/>
        <v>1264.2059468282948</v>
      </c>
    </row>
    <row r="37" spans="1:14" x14ac:dyDescent="0.3">
      <c r="A37" s="78" t="s">
        <v>263</v>
      </c>
      <c r="B37" s="79" t="s">
        <v>271</v>
      </c>
      <c r="C37" s="80"/>
      <c r="D37" s="80">
        <v>232.06299999999999</v>
      </c>
      <c r="E37" s="80">
        <v>591.02700000000004</v>
      </c>
      <c r="F37" s="80">
        <v>877.74</v>
      </c>
      <c r="G37" s="80">
        <v>875.57799999999997</v>
      </c>
      <c r="H37" s="83">
        <f t="shared" ref="H37:N37" si="18">H35+H36</f>
        <v>972.82561110999995</v>
      </c>
      <c r="I37" s="83">
        <f t="shared" si="18"/>
        <v>1074.1443579975999</v>
      </c>
      <c r="J37" s="83">
        <f t="shared" si="18"/>
        <v>1176.0913206894641</v>
      </c>
      <c r="K37" s="83">
        <f t="shared" si="18"/>
        <v>1274.546484742752</v>
      </c>
      <c r="L37" s="83">
        <f t="shared" si="18"/>
        <v>1364.9201702571443</v>
      </c>
      <c r="M37" s="83">
        <f t="shared" si="18"/>
        <v>1442.4455162751574</v>
      </c>
      <c r="N37" s="83">
        <f t="shared" si="18"/>
        <v>1502.5363252829673</v>
      </c>
    </row>
    <row r="38" spans="1:14" x14ac:dyDescent="0.3">
      <c r="A38" s="69" t="s">
        <v>264</v>
      </c>
      <c r="B38" s="74" t="s">
        <v>271</v>
      </c>
      <c r="C38" s="76"/>
      <c r="D38" s="76">
        <v>219.97</v>
      </c>
      <c r="E38" s="76">
        <v>339.14400000000001</v>
      </c>
      <c r="F38" s="76">
        <v>503.36599999999999</v>
      </c>
      <c r="G38" s="76">
        <v>592.44330000000002</v>
      </c>
      <c r="H38" s="81">
        <f t="shared" ref="H38:N38" si="19">H37-H41</f>
        <v>638.72666510999989</v>
      </c>
      <c r="I38" s="81">
        <f t="shared" si="19"/>
        <v>686.58958063759985</v>
      </c>
      <c r="J38" s="81">
        <f t="shared" si="19"/>
        <v>734.27887449906393</v>
      </c>
      <c r="K38" s="81">
        <f t="shared" si="19"/>
        <v>779.71654500950388</v>
      </c>
      <c r="L38" s="81">
        <f t="shared" si="19"/>
        <v>820.60723655057132</v>
      </c>
      <c r="M38" s="81">
        <f t="shared" si="19"/>
        <v>854.58754787205862</v>
      </c>
      <c r="N38" s="81">
        <f t="shared" si="19"/>
        <v>879.40687877568246</v>
      </c>
    </row>
    <row r="39" spans="1:14" x14ac:dyDescent="0.3">
      <c r="A39" s="69" t="s">
        <v>265</v>
      </c>
      <c r="B39" s="74" t="s">
        <v>271</v>
      </c>
      <c r="C39" s="76"/>
      <c r="D39" s="76">
        <v>10.935</v>
      </c>
      <c r="E39" s="76">
        <v>28.242999999999999</v>
      </c>
      <c r="F39" s="76">
        <v>6.6509999999999998</v>
      </c>
      <c r="G39" s="76">
        <v>9.9632000000000005</v>
      </c>
      <c r="H39" s="81">
        <f t="shared" ref="H39:N39" si="20">H6*($G39/$G$6)</f>
        <v>11.756575999999999</v>
      </c>
      <c r="I39" s="81">
        <f t="shared" si="20"/>
        <v>13.63762816</v>
      </c>
      <c r="J39" s="81">
        <f t="shared" si="20"/>
        <v>15.546896102400002</v>
      </c>
      <c r="K39" s="81">
        <f t="shared" si="20"/>
        <v>17.412523634688004</v>
      </c>
      <c r="L39" s="81">
        <f t="shared" si="20"/>
        <v>19.153775998156807</v>
      </c>
      <c r="M39" s="81">
        <f t="shared" si="20"/>
        <v>20.686078078009349</v>
      </c>
      <c r="N39" s="81">
        <f t="shared" si="20"/>
        <v>21.927242762689914</v>
      </c>
    </row>
    <row r="40" spans="1:14" x14ac:dyDescent="0.3">
      <c r="A40" s="69" t="s">
        <v>266</v>
      </c>
      <c r="B40" s="74" t="s">
        <v>271</v>
      </c>
      <c r="C40" s="76"/>
      <c r="D40" s="76">
        <v>1.1579999999999999</v>
      </c>
      <c r="E40" s="76">
        <v>223.64</v>
      </c>
      <c r="F40" s="76">
        <v>367.72300000000001</v>
      </c>
      <c r="G40" s="76">
        <v>273.17149999999998</v>
      </c>
      <c r="H40" s="81">
        <f t="shared" ref="H40:N40" si="21">H6*($G40/$G$6)</f>
        <v>322.34237000000002</v>
      </c>
      <c r="I40" s="81">
        <f t="shared" si="21"/>
        <v>373.91714919999998</v>
      </c>
      <c r="J40" s="81">
        <f t="shared" si="21"/>
        <v>426.26555008800005</v>
      </c>
      <c r="K40" s="81">
        <f t="shared" si="21"/>
        <v>477.41741609856012</v>
      </c>
      <c r="L40" s="81">
        <f t="shared" si="21"/>
        <v>525.15915770841616</v>
      </c>
      <c r="M40" s="81">
        <f t="shared" si="21"/>
        <v>567.17189032508941</v>
      </c>
      <c r="N40" s="81">
        <f t="shared" si="21"/>
        <v>601.20220374459484</v>
      </c>
    </row>
    <row r="41" spans="1:14" x14ac:dyDescent="0.3">
      <c r="A41" s="78" t="s">
        <v>267</v>
      </c>
      <c r="B41" s="79" t="s">
        <v>271</v>
      </c>
      <c r="C41" s="80"/>
      <c r="D41" s="80">
        <v>12.093</v>
      </c>
      <c r="E41" s="80">
        <v>251.88300000000001</v>
      </c>
      <c r="F41" s="80">
        <v>374.37400000000002</v>
      </c>
      <c r="G41" s="80">
        <v>283.13470000000001</v>
      </c>
      <c r="H41" s="83">
        <f t="shared" ref="H41:N41" si="22">H39+H40</f>
        <v>334.09894600000001</v>
      </c>
      <c r="I41" s="83">
        <f t="shared" si="22"/>
        <v>387.55477736</v>
      </c>
      <c r="J41" s="83">
        <f t="shared" si="22"/>
        <v>441.81244619040007</v>
      </c>
      <c r="K41" s="83">
        <f t="shared" si="22"/>
        <v>494.82993973324812</v>
      </c>
      <c r="L41" s="83">
        <f t="shared" si="22"/>
        <v>544.31293370657295</v>
      </c>
      <c r="M41" s="83">
        <f t="shared" si="22"/>
        <v>587.85796840309877</v>
      </c>
      <c r="N41" s="83">
        <f t="shared" si="22"/>
        <v>623.1294465072848</v>
      </c>
    </row>
    <row r="42" spans="1:14" x14ac:dyDescent="0.3">
      <c r="A42" s="78" t="s">
        <v>268</v>
      </c>
      <c r="B42" s="79" t="s">
        <v>271</v>
      </c>
      <c r="C42" s="80"/>
      <c r="D42" s="80">
        <v>232.06299999999999</v>
      </c>
      <c r="E42" s="80">
        <v>591.02700000000004</v>
      </c>
      <c r="F42" s="80">
        <v>877.74</v>
      </c>
      <c r="G42" s="80">
        <v>875.57799999999997</v>
      </c>
      <c r="H42" s="83">
        <f t="shared" ref="H42:N42" si="23">H38+H41</f>
        <v>972.82561110999995</v>
      </c>
      <c r="I42" s="83">
        <f t="shared" si="23"/>
        <v>1074.1443579975999</v>
      </c>
      <c r="J42" s="83">
        <f t="shared" si="23"/>
        <v>1176.0913206894641</v>
      </c>
      <c r="K42" s="83">
        <f t="shared" si="23"/>
        <v>1274.546484742752</v>
      </c>
      <c r="L42" s="83">
        <f t="shared" si="23"/>
        <v>1364.9201702571443</v>
      </c>
      <c r="M42" s="83">
        <f t="shared" si="23"/>
        <v>1442.4455162751574</v>
      </c>
      <c r="N42" s="83">
        <f t="shared" si="23"/>
        <v>1502.5363252829673</v>
      </c>
    </row>
    <row r="43" spans="1:14" x14ac:dyDescent="0.3">
      <c r="A43" s="78" t="s">
        <v>269</v>
      </c>
      <c r="B43" s="79" t="s">
        <v>271</v>
      </c>
      <c r="C43" s="80"/>
      <c r="D43" s="80">
        <f t="shared" ref="D43:N43" si="24">D37-D42</f>
        <v>0</v>
      </c>
      <c r="E43" s="80">
        <f t="shared" si="24"/>
        <v>0</v>
      </c>
      <c r="F43" s="80">
        <f t="shared" si="24"/>
        <v>0</v>
      </c>
      <c r="G43" s="80">
        <f t="shared" si="24"/>
        <v>0</v>
      </c>
      <c r="H43" s="83">
        <f t="shared" si="24"/>
        <v>0</v>
      </c>
      <c r="I43" s="83">
        <f t="shared" si="24"/>
        <v>0</v>
      </c>
      <c r="J43" s="83">
        <f t="shared" si="24"/>
        <v>0</v>
      </c>
      <c r="K43" s="83">
        <f t="shared" si="24"/>
        <v>0</v>
      </c>
      <c r="L43" s="83">
        <f t="shared" si="24"/>
        <v>0</v>
      </c>
      <c r="M43" s="83">
        <f t="shared" si="24"/>
        <v>0</v>
      </c>
      <c r="N43" s="83">
        <f t="shared" si="24"/>
        <v>0</v>
      </c>
    </row>
    <row r="44" spans="1:14" x14ac:dyDescent="0.3">
      <c r="A44" s="69"/>
      <c r="B44" s="74"/>
      <c r="C44" s="63"/>
      <c r="D44" s="63"/>
      <c r="E44" s="63"/>
      <c r="F44" s="63"/>
      <c r="G44" s="63"/>
      <c r="H44" s="84"/>
      <c r="I44" s="84"/>
      <c r="J44" s="84"/>
      <c r="K44" s="84"/>
      <c r="L44" s="84"/>
      <c r="M44" s="84"/>
      <c r="N44" s="84"/>
    </row>
    <row r="45" spans="1:14" x14ac:dyDescent="0.3">
      <c r="A45" s="128" t="s">
        <v>253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</row>
    <row r="46" spans="1:14" x14ac:dyDescent="0.3">
      <c r="A46" s="69" t="s">
        <v>47</v>
      </c>
      <c r="B46" s="74" t="s">
        <v>271</v>
      </c>
      <c r="C46" s="76"/>
      <c r="D46" s="76"/>
      <c r="E46" s="76"/>
      <c r="F46" s="76"/>
      <c r="G46" s="76">
        <f>Inputs!B45</f>
        <v>135.54339999999999</v>
      </c>
      <c r="H46" s="81"/>
      <c r="I46" s="81"/>
      <c r="J46" s="81"/>
      <c r="K46" s="81"/>
      <c r="L46" s="81"/>
      <c r="M46" s="81"/>
      <c r="N46" s="81"/>
    </row>
    <row r="47" spans="1:14" x14ac:dyDescent="0.3">
      <c r="A47" s="69" t="s">
        <v>48</v>
      </c>
      <c r="B47" s="74" t="s">
        <v>271</v>
      </c>
      <c r="C47" s="76"/>
      <c r="D47" s="76"/>
      <c r="E47" s="76"/>
      <c r="F47" s="76"/>
      <c r="G47" s="76">
        <f>Inputs!B46</f>
        <v>29.493600000000001</v>
      </c>
      <c r="H47" s="81"/>
      <c r="I47" s="81"/>
      <c r="J47" s="81"/>
      <c r="K47" s="81"/>
      <c r="L47" s="81"/>
      <c r="M47" s="81"/>
      <c r="N47" s="81"/>
    </row>
    <row r="48" spans="1:14" x14ac:dyDescent="0.3">
      <c r="A48" s="69" t="s">
        <v>49</v>
      </c>
      <c r="B48" s="74" t="s">
        <v>271</v>
      </c>
      <c r="C48" s="76"/>
      <c r="D48" s="76"/>
      <c r="E48" s="76"/>
      <c r="F48" s="76"/>
      <c r="G48" s="76">
        <f>Inputs!B47</f>
        <v>30.995999999999999</v>
      </c>
      <c r="H48" s="81"/>
      <c r="I48" s="81"/>
      <c r="J48" s="81"/>
      <c r="K48" s="81"/>
      <c r="L48" s="81"/>
      <c r="M48" s="81"/>
      <c r="N48" s="81"/>
    </row>
    <row r="49" spans="1:15" x14ac:dyDescent="0.3">
      <c r="A49" s="69" t="s">
        <v>50</v>
      </c>
      <c r="B49" s="74" t="s">
        <v>271</v>
      </c>
      <c r="C49" s="76"/>
      <c r="D49" s="76"/>
      <c r="E49" s="76"/>
      <c r="F49" s="76"/>
      <c r="G49" s="76">
        <f>Inputs!B48</f>
        <v>1.7548999999999999</v>
      </c>
      <c r="H49" s="81"/>
      <c r="I49" s="81"/>
      <c r="J49" s="81"/>
      <c r="K49" s="81"/>
      <c r="L49" s="81"/>
      <c r="M49" s="81"/>
      <c r="N49" s="81"/>
    </row>
    <row r="50" spans="1:15" x14ac:dyDescent="0.3">
      <c r="A50" s="69" t="s">
        <v>51</v>
      </c>
      <c r="B50" s="74" t="s">
        <v>272</v>
      </c>
      <c r="C50" s="64"/>
      <c r="D50" s="64"/>
      <c r="E50" s="64"/>
      <c r="F50" s="64"/>
      <c r="G50" s="64">
        <f>Inputs!B49</f>
        <v>17.506399999999999</v>
      </c>
      <c r="H50" s="85"/>
      <c r="I50" s="85"/>
      <c r="J50" s="85"/>
      <c r="K50" s="85"/>
      <c r="L50" s="85"/>
      <c r="M50" s="85"/>
      <c r="N50" s="85"/>
    </row>
    <row r="51" spans="1:15" x14ac:dyDescent="0.3">
      <c r="A51" s="67"/>
      <c r="B51" s="72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</row>
    <row r="52" spans="1:15" x14ac:dyDescent="0.3">
      <c r="A52" s="129" t="s">
        <v>254</v>
      </c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</row>
    <row r="53" spans="1:15" x14ac:dyDescent="0.3">
      <c r="A53" s="86" t="s">
        <v>323</v>
      </c>
      <c r="B53" s="87" t="s">
        <v>273</v>
      </c>
      <c r="C53" s="130" t="s">
        <v>324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</row>
    <row r="54" spans="1:15" x14ac:dyDescent="0.3">
      <c r="A54" s="86" t="s">
        <v>270</v>
      </c>
      <c r="B54" s="87" t="s">
        <v>273</v>
      </c>
      <c r="C54" s="130" t="s">
        <v>274</v>
      </c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</row>
    <row r="55" spans="1:15" x14ac:dyDescent="0.3">
      <c r="A55" s="70"/>
      <c r="B55" s="7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</row>
    <row r="56" spans="1:15" x14ac:dyDescent="0.25">
      <c r="A56" s="126" t="s">
        <v>325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7"/>
    </row>
    <row r="57" spans="1:15" x14ac:dyDescent="0.25">
      <c r="A57" s="94" t="s">
        <v>34</v>
      </c>
      <c r="B57" s="94" t="s">
        <v>52</v>
      </c>
      <c r="C57" s="94" t="s">
        <v>53</v>
      </c>
      <c r="D57" s="94" t="s">
        <v>54</v>
      </c>
      <c r="E57" s="94" t="s">
        <v>55</v>
      </c>
      <c r="F57" s="94" t="s">
        <v>56</v>
      </c>
      <c r="G57" s="94" t="s">
        <v>57</v>
      </c>
      <c r="H57" s="94" t="s">
        <v>35</v>
      </c>
      <c r="I57" s="94" t="s">
        <v>36</v>
      </c>
      <c r="J57" s="94" t="s">
        <v>37</v>
      </c>
      <c r="K57" s="94" t="s">
        <v>38</v>
      </c>
      <c r="L57" s="94" t="s">
        <v>39</v>
      </c>
      <c r="M57" s="94" t="s">
        <v>40</v>
      </c>
      <c r="N57" s="94" t="s">
        <v>41</v>
      </c>
      <c r="O57" s="103" t="s">
        <v>326</v>
      </c>
    </row>
    <row r="58" spans="1:15" x14ac:dyDescent="0.25">
      <c r="A58" s="126" t="s">
        <v>327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7"/>
    </row>
    <row r="59" spans="1:15" ht="23" x14ac:dyDescent="0.25">
      <c r="A59" s="95" t="s">
        <v>328</v>
      </c>
      <c r="B59" s="95" t="s">
        <v>271</v>
      </c>
      <c r="C59" s="95"/>
      <c r="D59" s="96">
        <v>5.94</v>
      </c>
      <c r="E59" s="96">
        <v>11.63</v>
      </c>
      <c r="F59" s="96">
        <v>10.903</v>
      </c>
      <c r="G59" s="96">
        <v>32.220500000000001</v>
      </c>
      <c r="H59" s="96">
        <f t="shared" ref="H59:N66" si="25">H$35*($G59/$G$68)</f>
        <v>31.562646806801293</v>
      </c>
      <c r="I59" s="96">
        <f t="shared" si="25"/>
        <v>30.799537102690788</v>
      </c>
      <c r="J59" s="96">
        <f t="shared" si="25"/>
        <v>29.92959204000481</v>
      </c>
      <c r="K59" s="96">
        <f t="shared" si="25"/>
        <v>28.955253569796515</v>
      </c>
      <c r="L59" s="96">
        <f t="shared" si="25"/>
        <v>27.883481252567396</v>
      </c>
      <c r="M59" s="96">
        <f t="shared" si="25"/>
        <v>26.725967149959946</v>
      </c>
      <c r="N59" s="96">
        <f t="shared" si="25"/>
        <v>25.499002201196046</v>
      </c>
      <c r="O59" s="97" t="s">
        <v>329</v>
      </c>
    </row>
    <row r="60" spans="1:15" ht="23" x14ac:dyDescent="0.25">
      <c r="A60" s="95" t="s">
        <v>330</v>
      </c>
      <c r="B60" s="95" t="s">
        <v>271</v>
      </c>
      <c r="C60" s="95"/>
      <c r="D60" s="96">
        <v>2.1850000000000001</v>
      </c>
      <c r="E60" s="96">
        <v>9.0980000000000008</v>
      </c>
      <c r="F60" s="96">
        <v>8.234</v>
      </c>
      <c r="G60" s="96">
        <v>7.4508999999999999</v>
      </c>
      <c r="H60" s="96">
        <f t="shared" si="25"/>
        <v>7.298773299383801</v>
      </c>
      <c r="I60" s="96">
        <f t="shared" si="25"/>
        <v>7.1223063266690083</v>
      </c>
      <c r="J60" s="96">
        <f t="shared" si="25"/>
        <v>6.9211339777741454</v>
      </c>
      <c r="K60" s="96">
        <f t="shared" si="25"/>
        <v>6.6958209470118977</v>
      </c>
      <c r="L60" s="96">
        <f t="shared" si="25"/>
        <v>6.4479766131734273</v>
      </c>
      <c r="M60" s="96">
        <f t="shared" si="25"/>
        <v>6.1803047326278788</v>
      </c>
      <c r="N60" s="96">
        <f t="shared" si="25"/>
        <v>5.8965725392495969</v>
      </c>
      <c r="O60" s="97" t="s">
        <v>329</v>
      </c>
    </row>
    <row r="61" spans="1:15" ht="23" x14ac:dyDescent="0.25">
      <c r="A61" s="95" t="s">
        <v>331</v>
      </c>
      <c r="B61" s="95" t="s">
        <v>271</v>
      </c>
      <c r="C61" s="95"/>
      <c r="D61" s="96">
        <v>0</v>
      </c>
      <c r="E61" s="96">
        <v>0.82699999999999996</v>
      </c>
      <c r="F61" s="96">
        <v>5.9249999999999998</v>
      </c>
      <c r="G61" s="96">
        <v>24.358499999999999</v>
      </c>
      <c r="H61" s="96">
        <f t="shared" si="25"/>
        <v>23.861167028552298</v>
      </c>
      <c r="I61" s="96">
        <f t="shared" si="25"/>
        <v>23.284260781672959</v>
      </c>
      <c r="J61" s="96">
        <f t="shared" si="25"/>
        <v>22.626587660230513</v>
      </c>
      <c r="K61" s="96">
        <f t="shared" si="25"/>
        <v>21.889993764214971</v>
      </c>
      <c r="L61" s="96">
        <f t="shared" si="25"/>
        <v>21.079740478597881</v>
      </c>
      <c r="M61" s="96">
        <f t="shared" si="25"/>
        <v>20.204666930131417</v>
      </c>
      <c r="N61" s="96">
        <f t="shared" si="25"/>
        <v>19.277088968756971</v>
      </c>
      <c r="O61" s="97" t="s">
        <v>329</v>
      </c>
    </row>
    <row r="62" spans="1:15" ht="23" x14ac:dyDescent="0.25">
      <c r="A62" s="95" t="s">
        <v>332</v>
      </c>
      <c r="B62" s="95" t="s">
        <v>271</v>
      </c>
      <c r="C62" s="95"/>
      <c r="D62" s="96">
        <v>0</v>
      </c>
      <c r="E62" s="96">
        <v>93.23</v>
      </c>
      <c r="F62" s="96">
        <v>55.435000000000002</v>
      </c>
      <c r="G62" s="96">
        <v>45.123399999999997</v>
      </c>
      <c r="H62" s="96">
        <f t="shared" si="25"/>
        <v>44.202105396316547</v>
      </c>
      <c r="I62" s="96">
        <f t="shared" si="25"/>
        <v>43.133403656043747</v>
      </c>
      <c r="J62" s="96">
        <f t="shared" si="25"/>
        <v>41.915083672132745</v>
      </c>
      <c r="K62" s="96">
        <f t="shared" si="25"/>
        <v>40.55056529015242</v>
      </c>
      <c r="L62" s="96">
        <f t="shared" si="25"/>
        <v>39.049595069974075</v>
      </c>
      <c r="M62" s="96">
        <f t="shared" si="25"/>
        <v>37.428547232181458</v>
      </c>
      <c r="N62" s="96">
        <f t="shared" si="25"/>
        <v>35.710236524121278</v>
      </c>
      <c r="O62" s="97" t="s">
        <v>329</v>
      </c>
    </row>
    <row r="63" spans="1:15" ht="23" x14ac:dyDescent="0.25">
      <c r="A63" s="95" t="s">
        <v>333</v>
      </c>
      <c r="B63" s="95" t="s">
        <v>271</v>
      </c>
      <c r="C63" s="95"/>
      <c r="D63" s="96">
        <v>13.56</v>
      </c>
      <c r="E63" s="96">
        <v>13.548999999999999</v>
      </c>
      <c r="F63" s="96">
        <v>12.268000000000001</v>
      </c>
      <c r="G63" s="96">
        <v>11.1089</v>
      </c>
      <c r="H63" s="96">
        <f t="shared" si="25"/>
        <v>10.882087090891664</v>
      </c>
      <c r="I63" s="96">
        <f t="shared" si="25"/>
        <v>10.618984116325993</v>
      </c>
      <c r="J63" s="96">
        <f t="shared" si="25"/>
        <v>10.319046725321128</v>
      </c>
      <c r="K63" s="96">
        <f t="shared" si="25"/>
        <v>9.9831168473956797</v>
      </c>
      <c r="L63" s="96">
        <f t="shared" si="25"/>
        <v>9.6135939816776883</v>
      </c>
      <c r="M63" s="96">
        <f t="shared" si="25"/>
        <v>9.2145092867022562</v>
      </c>
      <c r="N63" s="96">
        <f t="shared" si="25"/>
        <v>8.7914795100282976</v>
      </c>
      <c r="O63" s="97" t="s">
        <v>329</v>
      </c>
    </row>
    <row r="64" spans="1:15" ht="23" x14ac:dyDescent="0.25">
      <c r="A64" s="95" t="s">
        <v>334</v>
      </c>
      <c r="B64" s="95" t="s">
        <v>271</v>
      </c>
      <c r="C64" s="95"/>
      <c r="D64" s="96">
        <v>26.082999999999998</v>
      </c>
      <c r="E64" s="96">
        <v>28.113</v>
      </c>
      <c r="F64" s="96">
        <v>38.356999999999999</v>
      </c>
      <c r="G64" s="96">
        <v>30.995999999999999</v>
      </c>
      <c r="H64" s="96">
        <f t="shared" si="25"/>
        <v>30.363147698627049</v>
      </c>
      <c r="I64" s="96">
        <f t="shared" si="25"/>
        <v>29.62903902903442</v>
      </c>
      <c r="J64" s="96">
        <f t="shared" si="25"/>
        <v>28.792155145698825</v>
      </c>
      <c r="K64" s="96">
        <f t="shared" si="25"/>
        <v>27.854845196362959</v>
      </c>
      <c r="L64" s="96">
        <f t="shared" si="25"/>
        <v>26.82380425209351</v>
      </c>
      <c r="M64" s="96">
        <f t="shared" si="25"/>
        <v>25.710280032282505</v>
      </c>
      <c r="N64" s="96">
        <f t="shared" si="25"/>
        <v>24.529944359282837</v>
      </c>
      <c r="O64" s="97" t="s">
        <v>329</v>
      </c>
    </row>
    <row r="65" spans="1:15" ht="23" x14ac:dyDescent="0.25">
      <c r="A65" s="95" t="s">
        <v>335</v>
      </c>
      <c r="B65" s="95" t="s">
        <v>271</v>
      </c>
      <c r="C65" s="95"/>
      <c r="D65" s="96">
        <v>4.5259999999999998</v>
      </c>
      <c r="E65" s="96">
        <v>20.056000000000001</v>
      </c>
      <c r="F65" s="96">
        <v>147.864</v>
      </c>
      <c r="G65" s="96">
        <v>142.2081</v>
      </c>
      <c r="H65" s="96">
        <f t="shared" si="25"/>
        <v>139.30460524716497</v>
      </c>
      <c r="I65" s="96">
        <f t="shared" si="25"/>
        <v>135.93655133387631</v>
      </c>
      <c r="J65" s="96">
        <f t="shared" si="25"/>
        <v>132.09696987272724</v>
      </c>
      <c r="K65" s="96">
        <f t="shared" si="25"/>
        <v>127.79663863624029</v>
      </c>
      <c r="L65" s="96">
        <f t="shared" si="25"/>
        <v>123.06627427610465</v>
      </c>
      <c r="M65" s="96">
        <f t="shared" si="25"/>
        <v>117.95748076715815</v>
      </c>
      <c r="N65" s="96">
        <f t="shared" si="25"/>
        <v>112.54215964767485</v>
      </c>
      <c r="O65" s="97" t="s">
        <v>329</v>
      </c>
    </row>
    <row r="66" spans="1:15" ht="23" x14ac:dyDescent="0.25">
      <c r="A66" s="95" t="s">
        <v>336</v>
      </c>
      <c r="B66" s="95" t="s">
        <v>271</v>
      </c>
      <c r="C66" s="95"/>
      <c r="D66" s="96">
        <v>0</v>
      </c>
      <c r="E66" s="96">
        <v>0</v>
      </c>
      <c r="F66" s="96">
        <v>0</v>
      </c>
      <c r="G66" s="96">
        <v>7.5873999999999997</v>
      </c>
      <c r="H66" s="96">
        <f t="shared" si="25"/>
        <v>7.4324863481921168</v>
      </c>
      <c r="I66" s="96">
        <f t="shared" si="25"/>
        <v>7.2527865120949722</v>
      </c>
      <c r="J66" s="96">
        <f t="shared" si="25"/>
        <v>7.0479286989442276</v>
      </c>
      <c r="K66" s="96">
        <f t="shared" si="25"/>
        <v>6.8184879482153935</v>
      </c>
      <c r="L66" s="96">
        <f t="shared" si="25"/>
        <v>6.5661031224136766</v>
      </c>
      <c r="M66" s="96">
        <f t="shared" si="25"/>
        <v>6.2935275105478219</v>
      </c>
      <c r="N66" s="96">
        <f t="shared" si="25"/>
        <v>6.0045973619700153</v>
      </c>
      <c r="O66" s="97" t="s">
        <v>329</v>
      </c>
    </row>
    <row r="67" spans="1:15" ht="23" x14ac:dyDescent="0.25">
      <c r="A67" s="95" t="s">
        <v>337</v>
      </c>
      <c r="B67" s="95" t="s">
        <v>271</v>
      </c>
      <c r="C67" s="95"/>
      <c r="D67" s="96">
        <v>0.65600000000000003</v>
      </c>
      <c r="E67" s="96">
        <v>1.264</v>
      </c>
      <c r="F67" s="96">
        <v>0.14000000000000001</v>
      </c>
      <c r="G67" s="96">
        <v>0.1002</v>
      </c>
      <c r="H67" s="96">
        <f t="shared" ref="H67:N67" si="26">H$35-SUM(H59:H66)</f>
        <v>9.815419407027548E-2</v>
      </c>
      <c r="I67" s="96">
        <f t="shared" si="26"/>
        <v>9.5781059191835993E-2</v>
      </c>
      <c r="J67" s="96">
        <f t="shared" si="26"/>
        <v>9.3075685430392241E-2</v>
      </c>
      <c r="K67" s="96">
        <f t="shared" si="26"/>
        <v>9.0045666817502479E-2</v>
      </c>
      <c r="L67" s="96">
        <f t="shared" si="26"/>
        <v>8.671264634341469E-2</v>
      </c>
      <c r="M67" s="96">
        <f t="shared" si="26"/>
        <v>8.3112984231377141E-2</v>
      </c>
      <c r="N67" s="96">
        <f t="shared" si="26"/>
        <v>7.9297342392607106E-2</v>
      </c>
      <c r="O67" s="97" t="s">
        <v>338</v>
      </c>
    </row>
    <row r="68" spans="1:15" ht="23" x14ac:dyDescent="0.25">
      <c r="A68" s="98" t="s">
        <v>339</v>
      </c>
      <c r="B68" s="98" t="s">
        <v>271</v>
      </c>
      <c r="C68" s="98"/>
      <c r="D68" s="99">
        <f t="shared" ref="D68:N68" si="27">SUM(D59:D67)</f>
        <v>52.949999999999996</v>
      </c>
      <c r="E68" s="99">
        <f t="shared" si="27"/>
        <v>177.76700000000002</v>
      </c>
      <c r="F68" s="99">
        <f t="shared" si="27"/>
        <v>279.12599999999998</v>
      </c>
      <c r="G68" s="99">
        <f t="shared" si="27"/>
        <v>301.15390000000002</v>
      </c>
      <c r="H68" s="99">
        <f t="shared" si="27"/>
        <v>295.00517311000004</v>
      </c>
      <c r="I68" s="99">
        <f t="shared" si="27"/>
        <v>287.87264991760003</v>
      </c>
      <c r="J68" s="99">
        <f t="shared" si="27"/>
        <v>279.741573478264</v>
      </c>
      <c r="K68" s="99">
        <f t="shared" si="27"/>
        <v>270.63476786620765</v>
      </c>
      <c r="L68" s="99">
        <f t="shared" si="27"/>
        <v>260.61728169294571</v>
      </c>
      <c r="M68" s="99">
        <f t="shared" si="27"/>
        <v>249.79839662582279</v>
      </c>
      <c r="N68" s="99">
        <f t="shared" si="27"/>
        <v>238.33037845467248</v>
      </c>
      <c r="O68" s="100" t="s">
        <v>340</v>
      </c>
    </row>
    <row r="69" spans="1:15" ht="23" x14ac:dyDescent="0.25">
      <c r="A69" s="95" t="s">
        <v>341</v>
      </c>
      <c r="B69" s="95" t="s">
        <v>271</v>
      </c>
      <c r="C69" s="95"/>
      <c r="D69" s="101">
        <f t="shared" ref="D69:N69" si="28">D68-D35</f>
        <v>0</v>
      </c>
      <c r="E69" s="101">
        <f t="shared" si="28"/>
        <v>0</v>
      </c>
      <c r="F69" s="101">
        <f t="shared" si="28"/>
        <v>0</v>
      </c>
      <c r="G69" s="101">
        <f t="shared" si="28"/>
        <v>0</v>
      </c>
      <c r="H69" s="101">
        <f t="shared" si="28"/>
        <v>0</v>
      </c>
      <c r="I69" s="101">
        <f t="shared" si="28"/>
        <v>0</v>
      </c>
      <c r="J69" s="101">
        <f t="shared" si="28"/>
        <v>0</v>
      </c>
      <c r="K69" s="101">
        <f t="shared" si="28"/>
        <v>0</v>
      </c>
      <c r="L69" s="101">
        <f t="shared" si="28"/>
        <v>0</v>
      </c>
      <c r="M69" s="101">
        <f t="shared" si="28"/>
        <v>0</v>
      </c>
      <c r="N69" s="101">
        <f t="shared" si="28"/>
        <v>0</v>
      </c>
      <c r="O69" s="97" t="s">
        <v>342</v>
      </c>
    </row>
    <row r="70" spans="1:15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4"/>
    </row>
    <row r="71" spans="1:15" x14ac:dyDescent="0.25">
      <c r="A71" s="126" t="s">
        <v>343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7"/>
    </row>
    <row r="72" spans="1:15" ht="23" x14ac:dyDescent="0.25">
      <c r="A72" s="95" t="s">
        <v>344</v>
      </c>
      <c r="B72" s="95" t="s">
        <v>271</v>
      </c>
      <c r="C72" s="95"/>
      <c r="D72" s="96">
        <v>79.995000000000005</v>
      </c>
      <c r="E72" s="96">
        <v>115.095</v>
      </c>
      <c r="F72" s="96">
        <v>0</v>
      </c>
      <c r="G72" s="96">
        <v>0</v>
      </c>
      <c r="H72" s="96">
        <f t="shared" ref="H72:N77" si="29">H$36*($G72/$G$79)</f>
        <v>0</v>
      </c>
      <c r="I72" s="96">
        <f t="shared" si="29"/>
        <v>0</v>
      </c>
      <c r="J72" s="96">
        <f t="shared" si="29"/>
        <v>0</v>
      </c>
      <c r="K72" s="96">
        <f t="shared" si="29"/>
        <v>0</v>
      </c>
      <c r="L72" s="96">
        <f t="shared" si="29"/>
        <v>0</v>
      </c>
      <c r="M72" s="96">
        <f t="shared" si="29"/>
        <v>0</v>
      </c>
      <c r="N72" s="96">
        <f t="shared" si="29"/>
        <v>0</v>
      </c>
      <c r="O72" s="97" t="s">
        <v>345</v>
      </c>
    </row>
    <row r="73" spans="1:15" x14ac:dyDescent="0.25">
      <c r="A73" s="95" t="s">
        <v>346</v>
      </c>
      <c r="B73" s="95" t="s">
        <v>271</v>
      </c>
      <c r="C73" s="95"/>
      <c r="D73" s="96">
        <v>0</v>
      </c>
      <c r="E73" s="96">
        <v>167.87100000000001</v>
      </c>
      <c r="F73" s="96">
        <v>256.404</v>
      </c>
      <c r="G73" s="96">
        <v>238.5121</v>
      </c>
      <c r="H73" s="96">
        <f t="shared" si="29"/>
        <v>281.444278</v>
      </c>
      <c r="I73" s="96">
        <f t="shared" si="29"/>
        <v>326.47536247999994</v>
      </c>
      <c r="J73" s="96">
        <f t="shared" si="29"/>
        <v>372.18191322720003</v>
      </c>
      <c r="K73" s="96">
        <f t="shared" si="29"/>
        <v>416.84374281446406</v>
      </c>
      <c r="L73" s="96">
        <f t="shared" si="29"/>
        <v>458.52811709591049</v>
      </c>
      <c r="M73" s="96">
        <f t="shared" si="29"/>
        <v>495.21036646358334</v>
      </c>
      <c r="N73" s="96">
        <f t="shared" si="29"/>
        <v>524.9229884513984</v>
      </c>
      <c r="O73" s="97" t="s">
        <v>347</v>
      </c>
    </row>
    <row r="74" spans="1:15" ht="23" x14ac:dyDescent="0.25">
      <c r="A74" s="95" t="s">
        <v>47</v>
      </c>
      <c r="B74" s="95" t="s">
        <v>271</v>
      </c>
      <c r="C74" s="95"/>
      <c r="D74" s="96">
        <v>15.71</v>
      </c>
      <c r="E74" s="96">
        <v>50.22</v>
      </c>
      <c r="F74" s="96">
        <v>88.826999999999998</v>
      </c>
      <c r="G74" s="96">
        <v>135.54339999999999</v>
      </c>
      <c r="H74" s="96">
        <f t="shared" si="29"/>
        <v>159.94121199999998</v>
      </c>
      <c r="I74" s="96">
        <f t="shared" si="29"/>
        <v>185.53180591999995</v>
      </c>
      <c r="J74" s="96">
        <f t="shared" si="29"/>
        <v>211.50625874880001</v>
      </c>
      <c r="K74" s="96">
        <f t="shared" si="29"/>
        <v>236.88700979865601</v>
      </c>
      <c r="L74" s="96">
        <f t="shared" si="29"/>
        <v>260.57571077852162</v>
      </c>
      <c r="M74" s="96">
        <f t="shared" si="29"/>
        <v>281.42176764080335</v>
      </c>
      <c r="N74" s="96">
        <f t="shared" si="29"/>
        <v>298.30707369925159</v>
      </c>
      <c r="O74" s="97" t="s">
        <v>348</v>
      </c>
    </row>
    <row r="75" spans="1:15" x14ac:dyDescent="0.25">
      <c r="A75" s="95" t="s">
        <v>349</v>
      </c>
      <c r="B75" s="95" t="s">
        <v>271</v>
      </c>
      <c r="C75" s="95"/>
      <c r="D75" s="96">
        <v>51.5</v>
      </c>
      <c r="E75" s="96">
        <v>72.811999999999998</v>
      </c>
      <c r="F75" s="96">
        <v>221.785</v>
      </c>
      <c r="G75" s="96">
        <v>29.493600000000001</v>
      </c>
      <c r="H75" s="96">
        <f t="shared" si="29"/>
        <v>34.802447999999991</v>
      </c>
      <c r="I75" s="96">
        <f t="shared" si="29"/>
        <v>40.370839679999989</v>
      </c>
      <c r="J75" s="96">
        <f t="shared" si="29"/>
        <v>46.022757235199997</v>
      </c>
      <c r="K75" s="96">
        <f t="shared" si="29"/>
        <v>51.545488103424006</v>
      </c>
      <c r="L75" s="96">
        <f t="shared" si="29"/>
        <v>56.700036913766404</v>
      </c>
      <c r="M75" s="96">
        <f t="shared" si="29"/>
        <v>61.236039866867721</v>
      </c>
      <c r="N75" s="96">
        <f t="shared" si="29"/>
        <v>64.910202258879792</v>
      </c>
      <c r="O75" s="97" t="s">
        <v>347</v>
      </c>
    </row>
    <row r="76" spans="1:15" x14ac:dyDescent="0.25">
      <c r="A76" s="95" t="s">
        <v>350</v>
      </c>
      <c r="B76" s="95" t="s">
        <v>271</v>
      </c>
      <c r="C76" s="95"/>
      <c r="D76" s="96">
        <v>22.777000000000001</v>
      </c>
      <c r="E76" s="96">
        <v>4.1029999999999998</v>
      </c>
      <c r="F76" s="96">
        <v>15.326000000000001</v>
      </c>
      <c r="G76" s="96">
        <v>170.14410000000001</v>
      </c>
      <c r="H76" s="96">
        <f t="shared" si="29"/>
        <v>200.77003799999997</v>
      </c>
      <c r="I76" s="96">
        <f t="shared" si="29"/>
        <v>232.89324407999996</v>
      </c>
      <c r="J76" s="96">
        <f t="shared" si="29"/>
        <v>265.49829825120003</v>
      </c>
      <c r="K76" s="96">
        <f t="shared" si="29"/>
        <v>297.35809404134403</v>
      </c>
      <c r="L76" s="96">
        <f t="shared" si="29"/>
        <v>327.09390344547842</v>
      </c>
      <c r="M76" s="96">
        <f t="shared" si="29"/>
        <v>353.26141572111675</v>
      </c>
      <c r="N76" s="96">
        <f t="shared" si="29"/>
        <v>374.4571006643838</v>
      </c>
      <c r="O76" s="97" t="s">
        <v>347</v>
      </c>
    </row>
    <row r="77" spans="1:15" ht="23" x14ac:dyDescent="0.25">
      <c r="A77" s="95" t="s">
        <v>351</v>
      </c>
      <c r="B77" s="95" t="s">
        <v>271</v>
      </c>
      <c r="C77" s="95"/>
      <c r="D77" s="96">
        <v>3.484</v>
      </c>
      <c r="E77" s="96">
        <v>0</v>
      </c>
      <c r="F77" s="96">
        <v>2.4790000000000001</v>
      </c>
      <c r="G77" s="96">
        <v>0</v>
      </c>
      <c r="H77" s="96">
        <f t="shared" si="29"/>
        <v>0</v>
      </c>
      <c r="I77" s="96">
        <f t="shared" si="29"/>
        <v>0</v>
      </c>
      <c r="J77" s="96">
        <f t="shared" si="29"/>
        <v>0</v>
      </c>
      <c r="K77" s="96">
        <f t="shared" si="29"/>
        <v>0</v>
      </c>
      <c r="L77" s="96">
        <f t="shared" si="29"/>
        <v>0</v>
      </c>
      <c r="M77" s="96">
        <f t="shared" si="29"/>
        <v>0</v>
      </c>
      <c r="N77" s="96">
        <f t="shared" si="29"/>
        <v>0</v>
      </c>
      <c r="O77" s="97" t="s">
        <v>352</v>
      </c>
    </row>
    <row r="78" spans="1:15" ht="23" x14ac:dyDescent="0.25">
      <c r="A78" s="95" t="s">
        <v>353</v>
      </c>
      <c r="B78" s="95" t="s">
        <v>271</v>
      </c>
      <c r="C78" s="95"/>
      <c r="D78" s="96">
        <v>5.6470000000000002</v>
      </c>
      <c r="E78" s="96">
        <v>3.1589999999999998</v>
      </c>
      <c r="F78" s="96">
        <v>13.792999999999999</v>
      </c>
      <c r="G78" s="96">
        <v>0.73089999999999999</v>
      </c>
      <c r="H78" s="96">
        <f t="shared" ref="H78:N78" si="30">H$36-SUM(H72:H77)</f>
        <v>0.86246200000005047</v>
      </c>
      <c r="I78" s="96">
        <f t="shared" si="30"/>
        <v>1.0004559200000358</v>
      </c>
      <c r="J78" s="96">
        <f t="shared" si="30"/>
        <v>1.1405197488001022</v>
      </c>
      <c r="K78" s="96">
        <f t="shared" si="30"/>
        <v>1.2773821186560781</v>
      </c>
      <c r="L78" s="96">
        <f t="shared" si="30"/>
        <v>1.4051203305216404</v>
      </c>
      <c r="M78" s="96">
        <f t="shared" si="30"/>
        <v>1.5175299569634717</v>
      </c>
      <c r="N78" s="96">
        <f t="shared" si="30"/>
        <v>1.6085817543814755</v>
      </c>
      <c r="O78" s="97" t="s">
        <v>354</v>
      </c>
    </row>
    <row r="79" spans="1:15" ht="23" x14ac:dyDescent="0.25">
      <c r="A79" s="98" t="s">
        <v>355</v>
      </c>
      <c r="B79" s="98" t="s">
        <v>271</v>
      </c>
      <c r="C79" s="98"/>
      <c r="D79" s="99">
        <f t="shared" ref="D79:N79" si="31">SUM(D72:D78)</f>
        <v>179.11300000000003</v>
      </c>
      <c r="E79" s="99">
        <f t="shared" si="31"/>
        <v>413.26000000000005</v>
      </c>
      <c r="F79" s="99">
        <f t="shared" si="31"/>
        <v>598.61400000000003</v>
      </c>
      <c r="G79" s="99">
        <f t="shared" si="31"/>
        <v>574.42410000000007</v>
      </c>
      <c r="H79" s="99">
        <f t="shared" si="31"/>
        <v>677.82043799999997</v>
      </c>
      <c r="I79" s="99">
        <f t="shared" si="31"/>
        <v>786.27170807999994</v>
      </c>
      <c r="J79" s="99">
        <f t="shared" si="31"/>
        <v>896.34974721120011</v>
      </c>
      <c r="K79" s="99">
        <f t="shared" si="31"/>
        <v>1003.9117168765442</v>
      </c>
      <c r="L79" s="99">
        <f t="shared" si="31"/>
        <v>1104.3028885641986</v>
      </c>
      <c r="M79" s="99">
        <f t="shared" si="31"/>
        <v>1192.6471196493346</v>
      </c>
      <c r="N79" s="99">
        <f t="shared" si="31"/>
        <v>1264.2059468282948</v>
      </c>
      <c r="O79" s="100" t="s">
        <v>356</v>
      </c>
    </row>
    <row r="80" spans="1:15" ht="23" x14ac:dyDescent="0.25">
      <c r="A80" s="95" t="s">
        <v>357</v>
      </c>
      <c r="B80" s="95" t="s">
        <v>271</v>
      </c>
      <c r="C80" s="95"/>
      <c r="D80" s="101">
        <f t="shared" ref="D80:N80" si="32">D79-D36</f>
        <v>0</v>
      </c>
      <c r="E80" s="101">
        <f t="shared" si="32"/>
        <v>0</v>
      </c>
      <c r="F80" s="101">
        <f t="shared" si="32"/>
        <v>0</v>
      </c>
      <c r="G80" s="101">
        <f t="shared" si="32"/>
        <v>0</v>
      </c>
      <c r="H80" s="101">
        <f t="shared" si="32"/>
        <v>0</v>
      </c>
      <c r="I80" s="101">
        <f t="shared" si="32"/>
        <v>0</v>
      </c>
      <c r="J80" s="101">
        <f t="shared" si="32"/>
        <v>0</v>
      </c>
      <c r="K80" s="101">
        <f t="shared" si="32"/>
        <v>0</v>
      </c>
      <c r="L80" s="101">
        <f t="shared" si="32"/>
        <v>0</v>
      </c>
      <c r="M80" s="101">
        <f t="shared" si="32"/>
        <v>0</v>
      </c>
      <c r="N80" s="101">
        <f t="shared" si="32"/>
        <v>0</v>
      </c>
      <c r="O80" s="97" t="s">
        <v>342</v>
      </c>
    </row>
    <row r="81" spans="1:15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4"/>
    </row>
    <row r="82" spans="1:15" x14ac:dyDescent="0.25">
      <c r="A82" s="126" t="s">
        <v>358</v>
      </c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7"/>
    </row>
    <row r="83" spans="1:15" ht="23" x14ac:dyDescent="0.25">
      <c r="A83" s="95" t="s">
        <v>359</v>
      </c>
      <c r="B83" s="95" t="s">
        <v>271</v>
      </c>
      <c r="C83" s="95"/>
      <c r="D83" s="96">
        <v>0</v>
      </c>
      <c r="E83" s="96">
        <v>0</v>
      </c>
      <c r="F83" s="96">
        <v>0</v>
      </c>
      <c r="G83" s="96">
        <v>0.87549999999999994</v>
      </c>
      <c r="H83" s="96">
        <f t="shared" ref="H83:N86" si="33">H$39*($G83/$G$88)</f>
        <v>1.0330900000000001</v>
      </c>
      <c r="I83" s="96">
        <f t="shared" si="33"/>
        <v>1.1983844000000001</v>
      </c>
      <c r="J83" s="96">
        <f t="shared" si="33"/>
        <v>1.3661582160000003</v>
      </c>
      <c r="K83" s="96">
        <f t="shared" si="33"/>
        <v>1.5300972019200005</v>
      </c>
      <c r="L83" s="96">
        <f t="shared" si="33"/>
        <v>1.6831069221120007</v>
      </c>
      <c r="M83" s="96">
        <f t="shared" si="33"/>
        <v>1.8177554758809606</v>
      </c>
      <c r="N83" s="96">
        <f t="shared" si="33"/>
        <v>1.9268208044338186</v>
      </c>
      <c r="O83" s="97" t="s">
        <v>360</v>
      </c>
    </row>
    <row r="84" spans="1:15" ht="23" x14ac:dyDescent="0.25">
      <c r="A84" s="95" t="s">
        <v>361</v>
      </c>
      <c r="B84" s="95" t="s">
        <v>271</v>
      </c>
      <c r="C84" s="95"/>
      <c r="D84" s="96">
        <v>8.3000000000000004E-2</v>
      </c>
      <c r="E84" s="96">
        <v>8.3000000000000004E-2</v>
      </c>
      <c r="F84" s="96">
        <v>8.3000000000000004E-2</v>
      </c>
      <c r="G84" s="96">
        <v>8.2699999999999996E-2</v>
      </c>
      <c r="H84" s="96">
        <f t="shared" si="33"/>
        <v>9.7586000000000006E-2</v>
      </c>
      <c r="I84" s="96">
        <f t="shared" si="33"/>
        <v>0.11319976000000001</v>
      </c>
      <c r="J84" s="96">
        <f t="shared" si="33"/>
        <v>0.12904772640000003</v>
      </c>
      <c r="K84" s="96">
        <f t="shared" si="33"/>
        <v>0.14453345356800004</v>
      </c>
      <c r="L84" s="96">
        <f t="shared" si="33"/>
        <v>0.15898679892480008</v>
      </c>
      <c r="M84" s="96">
        <f t="shared" si="33"/>
        <v>0.17170574283878406</v>
      </c>
      <c r="N84" s="96">
        <f t="shared" si="33"/>
        <v>0.18200808740911115</v>
      </c>
      <c r="O84" s="97" t="s">
        <v>360</v>
      </c>
    </row>
    <row r="85" spans="1:15" ht="23" x14ac:dyDescent="0.25">
      <c r="A85" s="95" t="s">
        <v>362</v>
      </c>
      <c r="B85" s="95" t="s">
        <v>271</v>
      </c>
      <c r="C85" s="95"/>
      <c r="D85" s="96">
        <v>0.02</v>
      </c>
      <c r="E85" s="96">
        <v>9.7000000000000003E-2</v>
      </c>
      <c r="F85" s="96">
        <v>0.29099999999999998</v>
      </c>
      <c r="G85" s="96">
        <v>1.6116999999999999</v>
      </c>
      <c r="H85" s="96">
        <f t="shared" si="33"/>
        <v>1.9018060000000001</v>
      </c>
      <c r="I85" s="96">
        <f t="shared" si="33"/>
        <v>2.2060949600000002</v>
      </c>
      <c r="J85" s="96">
        <f t="shared" si="33"/>
        <v>2.5149482544000006</v>
      </c>
      <c r="K85" s="96">
        <f t="shared" si="33"/>
        <v>2.816742044928001</v>
      </c>
      <c r="L85" s="96">
        <f t="shared" si="33"/>
        <v>3.0984162494208012</v>
      </c>
      <c r="M85" s="96">
        <f t="shared" si="33"/>
        <v>3.3462895493744651</v>
      </c>
      <c r="N85" s="96">
        <f t="shared" si="33"/>
        <v>3.547066922336934</v>
      </c>
      <c r="O85" s="97" t="s">
        <v>360</v>
      </c>
    </row>
    <row r="86" spans="1:15" ht="23" x14ac:dyDescent="0.25">
      <c r="A86" s="95" t="s">
        <v>363</v>
      </c>
      <c r="B86" s="95" t="s">
        <v>271</v>
      </c>
      <c r="C86" s="95"/>
      <c r="D86" s="96">
        <v>10.731</v>
      </c>
      <c r="E86" s="96">
        <v>27.969000000000001</v>
      </c>
      <c r="F86" s="96">
        <v>6.19</v>
      </c>
      <c r="G86" s="96">
        <v>7.3133999999999997</v>
      </c>
      <c r="H86" s="96">
        <f t="shared" si="33"/>
        <v>8.6298119999999994</v>
      </c>
      <c r="I86" s="96">
        <f t="shared" si="33"/>
        <v>10.010581920000002</v>
      </c>
      <c r="J86" s="96">
        <f t="shared" si="33"/>
        <v>11.412063388800002</v>
      </c>
      <c r="K86" s="96">
        <f t="shared" si="33"/>
        <v>12.781510995456003</v>
      </c>
      <c r="L86" s="96">
        <f t="shared" si="33"/>
        <v>14.059662095001606</v>
      </c>
      <c r="M86" s="96">
        <f t="shared" si="33"/>
        <v>15.184435062601732</v>
      </c>
      <c r="N86" s="96">
        <f t="shared" si="33"/>
        <v>16.095501166357842</v>
      </c>
      <c r="O86" s="97" t="s">
        <v>360</v>
      </c>
    </row>
    <row r="87" spans="1:15" ht="23" x14ac:dyDescent="0.25">
      <c r="A87" s="95" t="s">
        <v>364</v>
      </c>
      <c r="B87" s="95" t="s">
        <v>271</v>
      </c>
      <c r="C87" s="95"/>
      <c r="D87" s="96">
        <v>0.10100000000000001</v>
      </c>
      <c r="E87" s="96">
        <v>9.4E-2</v>
      </c>
      <c r="F87" s="96">
        <v>8.6999999999999994E-2</v>
      </c>
      <c r="G87" s="96">
        <v>7.9899999999999999E-2</v>
      </c>
      <c r="H87" s="96">
        <f t="shared" ref="H87:N87" si="34">H$39-SUM(H83:H86)</f>
        <v>9.4281999999999755E-2</v>
      </c>
      <c r="I87" s="96">
        <f t="shared" si="34"/>
        <v>0.10936711999999815</v>
      </c>
      <c r="J87" s="96">
        <f t="shared" si="34"/>
        <v>0.12467851679999953</v>
      </c>
      <c r="K87" s="96">
        <f t="shared" si="34"/>
        <v>0.1396399388159999</v>
      </c>
      <c r="L87" s="96">
        <f t="shared" si="34"/>
        <v>0.15360393269759953</v>
      </c>
      <c r="M87" s="96">
        <f t="shared" si="34"/>
        <v>0.16589224731340479</v>
      </c>
      <c r="N87" s="96">
        <f t="shared" si="34"/>
        <v>0.17584578215220859</v>
      </c>
      <c r="O87" s="97" t="s">
        <v>365</v>
      </c>
    </row>
    <row r="88" spans="1:15" ht="23" x14ac:dyDescent="0.25">
      <c r="A88" s="98" t="s">
        <v>366</v>
      </c>
      <c r="B88" s="98" t="s">
        <v>271</v>
      </c>
      <c r="C88" s="98"/>
      <c r="D88" s="99">
        <f t="shared" ref="D88:N88" si="35">SUM(D83:D87)</f>
        <v>10.935</v>
      </c>
      <c r="E88" s="99">
        <f t="shared" si="35"/>
        <v>28.243000000000002</v>
      </c>
      <c r="F88" s="99">
        <f t="shared" si="35"/>
        <v>6.6509999999999998</v>
      </c>
      <c r="G88" s="99">
        <f t="shared" si="35"/>
        <v>9.9631999999999987</v>
      </c>
      <c r="H88" s="99">
        <f t="shared" si="35"/>
        <v>11.756575999999999</v>
      </c>
      <c r="I88" s="99">
        <f t="shared" si="35"/>
        <v>13.63762816</v>
      </c>
      <c r="J88" s="99">
        <f t="shared" si="35"/>
        <v>15.546896102400002</v>
      </c>
      <c r="K88" s="99">
        <f t="shared" si="35"/>
        <v>17.412523634688004</v>
      </c>
      <c r="L88" s="99">
        <f t="shared" si="35"/>
        <v>19.153775998156807</v>
      </c>
      <c r="M88" s="99">
        <f t="shared" si="35"/>
        <v>20.686078078009349</v>
      </c>
      <c r="N88" s="99">
        <f t="shared" si="35"/>
        <v>21.927242762689914</v>
      </c>
      <c r="O88" s="100" t="s">
        <v>367</v>
      </c>
    </row>
    <row r="89" spans="1:15" ht="23" x14ac:dyDescent="0.25">
      <c r="A89" s="95" t="s">
        <v>368</v>
      </c>
      <c r="B89" s="95" t="s">
        <v>271</v>
      </c>
      <c r="C89" s="95"/>
      <c r="D89" s="101">
        <f t="shared" ref="D89:N89" si="36">D88-D39</f>
        <v>0</v>
      </c>
      <c r="E89" s="101">
        <f t="shared" si="36"/>
        <v>0</v>
      </c>
      <c r="F89" s="101">
        <f t="shared" si="36"/>
        <v>0</v>
      </c>
      <c r="G89" s="101">
        <f t="shared" si="36"/>
        <v>0</v>
      </c>
      <c r="H89" s="101">
        <f t="shared" si="36"/>
        <v>0</v>
      </c>
      <c r="I89" s="101">
        <f t="shared" si="36"/>
        <v>0</v>
      </c>
      <c r="J89" s="101">
        <f t="shared" si="36"/>
        <v>0</v>
      </c>
      <c r="K89" s="101">
        <f t="shared" si="36"/>
        <v>0</v>
      </c>
      <c r="L89" s="101">
        <f t="shared" si="36"/>
        <v>0</v>
      </c>
      <c r="M89" s="101">
        <f t="shared" si="36"/>
        <v>0</v>
      </c>
      <c r="N89" s="101">
        <f t="shared" si="36"/>
        <v>0</v>
      </c>
      <c r="O89" s="97" t="s">
        <v>342</v>
      </c>
    </row>
    <row r="90" spans="1:15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4"/>
    </row>
    <row r="91" spans="1:15" x14ac:dyDescent="0.25">
      <c r="A91" s="126" t="s">
        <v>369</v>
      </c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7"/>
    </row>
    <row r="92" spans="1:15" ht="23" x14ac:dyDescent="0.25">
      <c r="A92" s="95" t="s">
        <v>359</v>
      </c>
      <c r="B92" s="95" t="s">
        <v>271</v>
      </c>
      <c r="C92" s="95"/>
      <c r="D92" s="96">
        <v>0</v>
      </c>
      <c r="E92" s="96">
        <v>0</v>
      </c>
      <c r="F92" s="96">
        <v>0</v>
      </c>
      <c r="G92" s="96">
        <v>0.87939999999999996</v>
      </c>
      <c r="H92" s="96">
        <f t="shared" ref="H92:N98" si="37">H$40*($G92/$G$100)</f>
        <v>1.0376919999999998</v>
      </c>
      <c r="I92" s="96">
        <f t="shared" si="37"/>
        <v>1.2037227199999998</v>
      </c>
      <c r="J92" s="96">
        <f t="shared" si="37"/>
        <v>1.3722439008</v>
      </c>
      <c r="K92" s="96">
        <f t="shared" si="37"/>
        <v>1.5369131688960003</v>
      </c>
      <c r="L92" s="96">
        <f t="shared" si="37"/>
        <v>1.6906044857856002</v>
      </c>
      <c r="M92" s="96">
        <f t="shared" si="37"/>
        <v>1.8258528446484481</v>
      </c>
      <c r="N92" s="96">
        <f t="shared" si="37"/>
        <v>1.9354040153273553</v>
      </c>
      <c r="O92" s="97" t="s">
        <v>370</v>
      </c>
    </row>
    <row r="93" spans="1:15" ht="23" x14ac:dyDescent="0.25">
      <c r="A93" s="95" t="s">
        <v>361</v>
      </c>
      <c r="B93" s="95" t="s">
        <v>271</v>
      </c>
      <c r="C93" s="95"/>
      <c r="D93" s="96">
        <v>0</v>
      </c>
      <c r="E93" s="96">
        <v>0</v>
      </c>
      <c r="F93" s="96">
        <v>0</v>
      </c>
      <c r="G93" s="96">
        <v>0</v>
      </c>
      <c r="H93" s="96">
        <f t="shared" si="37"/>
        <v>0</v>
      </c>
      <c r="I93" s="96">
        <f t="shared" si="37"/>
        <v>0</v>
      </c>
      <c r="J93" s="96">
        <f t="shared" si="37"/>
        <v>0</v>
      </c>
      <c r="K93" s="96">
        <f t="shared" si="37"/>
        <v>0</v>
      </c>
      <c r="L93" s="96">
        <f t="shared" si="37"/>
        <v>0</v>
      </c>
      <c r="M93" s="96">
        <f t="shared" si="37"/>
        <v>0</v>
      </c>
      <c r="N93" s="96">
        <f t="shared" si="37"/>
        <v>0</v>
      </c>
      <c r="O93" s="97" t="s">
        <v>371</v>
      </c>
    </row>
    <row r="94" spans="1:15" ht="23" x14ac:dyDescent="0.25">
      <c r="A94" s="95" t="s">
        <v>372</v>
      </c>
      <c r="B94" s="95" t="s">
        <v>271</v>
      </c>
      <c r="C94" s="95"/>
      <c r="D94" s="96">
        <v>0</v>
      </c>
      <c r="E94" s="96">
        <v>0</v>
      </c>
      <c r="F94" s="96">
        <v>0</v>
      </c>
      <c r="G94" s="96">
        <v>0</v>
      </c>
      <c r="H94" s="96">
        <f t="shared" si="37"/>
        <v>0</v>
      </c>
      <c r="I94" s="96">
        <f t="shared" si="37"/>
        <v>0</v>
      </c>
      <c r="J94" s="96">
        <f t="shared" si="37"/>
        <v>0</v>
      </c>
      <c r="K94" s="96">
        <f t="shared" si="37"/>
        <v>0</v>
      </c>
      <c r="L94" s="96">
        <f t="shared" si="37"/>
        <v>0</v>
      </c>
      <c r="M94" s="96">
        <f t="shared" si="37"/>
        <v>0</v>
      </c>
      <c r="N94" s="96">
        <f t="shared" si="37"/>
        <v>0</v>
      </c>
      <c r="O94" s="97" t="s">
        <v>373</v>
      </c>
    </row>
    <row r="95" spans="1:15" ht="23" x14ac:dyDescent="0.25">
      <c r="A95" s="95" t="s">
        <v>374</v>
      </c>
      <c r="B95" s="95" t="s">
        <v>271</v>
      </c>
      <c r="C95" s="95"/>
      <c r="D95" s="96">
        <v>0.218</v>
      </c>
      <c r="E95" s="96">
        <v>130.12100000000001</v>
      </c>
      <c r="F95" s="96">
        <v>260.59500000000003</v>
      </c>
      <c r="G95" s="96">
        <v>233.58799999999999</v>
      </c>
      <c r="H95" s="96">
        <f t="shared" si="37"/>
        <v>275.63383999999996</v>
      </c>
      <c r="I95" s="96">
        <f>I$40*($G95/$G$100)</f>
        <v>319.73525439999997</v>
      </c>
      <c r="J95" s="96">
        <f t="shared" si="37"/>
        <v>364.49819001600002</v>
      </c>
      <c r="K95" s="96">
        <f t="shared" si="37"/>
        <v>408.23797281792008</v>
      </c>
      <c r="L95" s="96">
        <f t="shared" si="37"/>
        <v>449.06177009971208</v>
      </c>
      <c r="M95" s="96">
        <f t="shared" si="37"/>
        <v>484.98671170768898</v>
      </c>
      <c r="N95" s="96">
        <f t="shared" si="37"/>
        <v>514.08591441015039</v>
      </c>
      <c r="O95" s="97" t="s">
        <v>370</v>
      </c>
    </row>
    <row r="96" spans="1:15" ht="23" x14ac:dyDescent="0.25">
      <c r="A96" s="95" t="s">
        <v>375</v>
      </c>
      <c r="B96" s="95" t="s">
        <v>271</v>
      </c>
      <c r="C96" s="95"/>
      <c r="D96" s="96">
        <v>0.36199999999999999</v>
      </c>
      <c r="E96" s="96">
        <v>1.429</v>
      </c>
      <c r="F96" s="96">
        <v>59.075000000000003</v>
      </c>
      <c r="G96" s="96">
        <v>2.8210000000000002</v>
      </c>
      <c r="H96" s="96">
        <f t="shared" si="37"/>
        <v>3.3287800000000001</v>
      </c>
      <c r="I96" s="96">
        <f t="shared" si="37"/>
        <v>3.8613847999999997</v>
      </c>
      <c r="J96" s="96">
        <f t="shared" si="37"/>
        <v>4.4019786720000003</v>
      </c>
      <c r="K96" s="96">
        <f t="shared" si="37"/>
        <v>4.930216112640001</v>
      </c>
      <c r="L96" s="96">
        <f t="shared" si="37"/>
        <v>5.4232377239040019</v>
      </c>
      <c r="M96" s="96">
        <f t="shared" si="37"/>
        <v>5.8570967418163216</v>
      </c>
      <c r="N96" s="96">
        <f t="shared" si="37"/>
        <v>6.2085225463253009</v>
      </c>
      <c r="O96" s="97" t="s">
        <v>370</v>
      </c>
    </row>
    <row r="97" spans="1:15" ht="23" x14ac:dyDescent="0.25">
      <c r="A97" s="95" t="s">
        <v>376</v>
      </c>
      <c r="B97" s="95" t="s">
        <v>271</v>
      </c>
      <c r="C97" s="95"/>
      <c r="D97" s="96">
        <v>0.56499999999999995</v>
      </c>
      <c r="E97" s="96">
        <v>14.965999999999999</v>
      </c>
      <c r="F97" s="96">
        <v>47.637999999999998</v>
      </c>
      <c r="G97" s="96">
        <v>28.023399999999999</v>
      </c>
      <c r="H97" s="96">
        <f t="shared" si="37"/>
        <v>33.067611999999997</v>
      </c>
      <c r="I97" s="96">
        <f t="shared" si="37"/>
        <v>38.358429919999992</v>
      </c>
      <c r="J97" s="96">
        <f t="shared" si="37"/>
        <v>43.728610108799998</v>
      </c>
      <c r="K97" s="96">
        <f t="shared" si="37"/>
        <v>48.976043321856004</v>
      </c>
      <c r="L97" s="96">
        <f t="shared" si="37"/>
        <v>53.873647654041605</v>
      </c>
      <c r="M97" s="96">
        <f t="shared" si="37"/>
        <v>58.183539466364934</v>
      </c>
      <c r="N97" s="96">
        <f t="shared" si="37"/>
        <v>61.674551834346836</v>
      </c>
      <c r="O97" s="97" t="s">
        <v>370</v>
      </c>
    </row>
    <row r="98" spans="1:15" ht="23" x14ac:dyDescent="0.25">
      <c r="A98" s="95" t="s">
        <v>362</v>
      </c>
      <c r="B98" s="95" t="s">
        <v>271</v>
      </c>
      <c r="C98" s="95"/>
      <c r="D98" s="96">
        <v>1.2999999999999999E-2</v>
      </c>
      <c r="E98" s="96">
        <v>75.257000000000005</v>
      </c>
      <c r="F98" s="96">
        <v>0.03</v>
      </c>
      <c r="G98" s="96">
        <v>8.5300000000000001E-2</v>
      </c>
      <c r="H98" s="96">
        <f t="shared" si="37"/>
        <v>0.10065399999999999</v>
      </c>
      <c r="I98" s="96">
        <f t="shared" si="37"/>
        <v>0.11675863999999998</v>
      </c>
      <c r="J98" s="96">
        <f t="shared" si="37"/>
        <v>0.13310484959999999</v>
      </c>
      <c r="K98" s="96">
        <f t="shared" si="37"/>
        <v>0.14907743155200001</v>
      </c>
      <c r="L98" s="96">
        <f t="shared" si="37"/>
        <v>0.16398517470720003</v>
      </c>
      <c r="M98" s="96">
        <f t="shared" si="37"/>
        <v>0.17710398868377603</v>
      </c>
      <c r="N98" s="96">
        <f t="shared" si="37"/>
        <v>0.1877302280048026</v>
      </c>
      <c r="O98" s="97" t="s">
        <v>370</v>
      </c>
    </row>
    <row r="99" spans="1:15" ht="23" x14ac:dyDescent="0.25">
      <c r="A99" s="95" t="s">
        <v>377</v>
      </c>
      <c r="B99" s="95" t="s">
        <v>271</v>
      </c>
      <c r="C99" s="95"/>
      <c r="D99" s="96">
        <v>0</v>
      </c>
      <c r="E99" s="96">
        <v>1.867</v>
      </c>
      <c r="F99" s="96">
        <v>0.38500000000000001</v>
      </c>
      <c r="G99" s="96">
        <v>7.7744</v>
      </c>
      <c r="H99" s="96">
        <f t="shared" ref="H99:N99" si="38">H$40-SUM(H92:H98)</f>
        <v>9.1737920000000486</v>
      </c>
      <c r="I99" s="96">
        <f t="shared" si="38"/>
        <v>10.641598720000047</v>
      </c>
      <c r="J99" s="96">
        <f t="shared" si="38"/>
        <v>12.131422540800031</v>
      </c>
      <c r="K99" s="96">
        <f t="shared" si="38"/>
        <v>13.587193245696085</v>
      </c>
      <c r="L99" s="96">
        <f t="shared" si="38"/>
        <v>14.945912570265648</v>
      </c>
      <c r="M99" s="96">
        <f t="shared" si="38"/>
        <v>16.141585575886893</v>
      </c>
      <c r="N99" s="96">
        <f t="shared" si="38"/>
        <v>17.110080710440116</v>
      </c>
      <c r="O99" s="97" t="s">
        <v>378</v>
      </c>
    </row>
    <row r="100" spans="1:15" ht="23" x14ac:dyDescent="0.25">
      <c r="A100" s="98" t="s">
        <v>379</v>
      </c>
      <c r="B100" s="98" t="s">
        <v>271</v>
      </c>
      <c r="C100" s="98"/>
      <c r="D100" s="99">
        <f t="shared" ref="D100:N100" si="39">SUM(D92:D99)</f>
        <v>1.1579999999999999</v>
      </c>
      <c r="E100" s="99">
        <f t="shared" si="39"/>
        <v>223.64000000000001</v>
      </c>
      <c r="F100" s="99">
        <f t="shared" si="39"/>
        <v>367.72299999999996</v>
      </c>
      <c r="G100" s="99">
        <f t="shared" si="39"/>
        <v>273.17150000000004</v>
      </c>
      <c r="H100" s="99">
        <f t="shared" si="39"/>
        <v>322.34237000000002</v>
      </c>
      <c r="I100" s="99">
        <f t="shared" si="39"/>
        <v>373.91714919999998</v>
      </c>
      <c r="J100" s="99">
        <f t="shared" si="39"/>
        <v>426.26555008800005</v>
      </c>
      <c r="K100" s="99">
        <f t="shared" si="39"/>
        <v>477.41741609856012</v>
      </c>
      <c r="L100" s="99">
        <f t="shared" si="39"/>
        <v>525.15915770841616</v>
      </c>
      <c r="M100" s="99">
        <f t="shared" si="39"/>
        <v>567.17189032508941</v>
      </c>
      <c r="N100" s="99">
        <f t="shared" si="39"/>
        <v>601.20220374459484</v>
      </c>
      <c r="O100" s="100" t="s">
        <v>380</v>
      </c>
    </row>
    <row r="101" spans="1:15" ht="23" x14ac:dyDescent="0.25">
      <c r="A101" s="95" t="s">
        <v>381</v>
      </c>
      <c r="B101" s="95" t="s">
        <v>271</v>
      </c>
      <c r="C101" s="95"/>
      <c r="D101" s="101">
        <f t="shared" ref="D101:N101" si="40">D100-D40</f>
        <v>0</v>
      </c>
      <c r="E101" s="101">
        <f t="shared" si="40"/>
        <v>0</v>
      </c>
      <c r="F101" s="101">
        <f t="shared" si="40"/>
        <v>0</v>
      </c>
      <c r="G101" s="101">
        <f t="shared" si="40"/>
        <v>0</v>
      </c>
      <c r="H101" s="101">
        <f t="shared" si="40"/>
        <v>0</v>
      </c>
      <c r="I101" s="101">
        <f t="shared" si="40"/>
        <v>0</v>
      </c>
      <c r="J101" s="101">
        <f t="shared" si="40"/>
        <v>0</v>
      </c>
      <c r="K101" s="101">
        <f t="shared" si="40"/>
        <v>0</v>
      </c>
      <c r="L101" s="101">
        <f t="shared" si="40"/>
        <v>0</v>
      </c>
      <c r="M101" s="101">
        <f t="shared" si="40"/>
        <v>0</v>
      </c>
      <c r="N101" s="101">
        <f t="shared" si="40"/>
        <v>0</v>
      </c>
      <c r="O101" s="97" t="s">
        <v>342</v>
      </c>
    </row>
    <row r="102" spans="1:15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4"/>
    </row>
    <row r="103" spans="1:15" x14ac:dyDescent="0.25">
      <c r="A103" s="95" t="s">
        <v>382</v>
      </c>
      <c r="B103" s="95" t="s">
        <v>273</v>
      </c>
      <c r="C103" s="95" t="s">
        <v>383</v>
      </c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7"/>
    </row>
    <row r="104" spans="1:15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6" spans="1:15" x14ac:dyDescent="0.25">
      <c r="A106" s="126" t="s">
        <v>384</v>
      </c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7"/>
    </row>
    <row r="107" spans="1:15" x14ac:dyDescent="0.25">
      <c r="A107" s="94" t="s">
        <v>34</v>
      </c>
      <c r="B107" s="94" t="s">
        <v>52</v>
      </c>
      <c r="C107" s="94" t="s">
        <v>53</v>
      </c>
      <c r="D107" s="94" t="s">
        <v>54</v>
      </c>
      <c r="E107" s="94" t="s">
        <v>55</v>
      </c>
      <c r="F107" s="94" t="s">
        <v>56</v>
      </c>
      <c r="G107" s="94" t="s">
        <v>57</v>
      </c>
      <c r="H107" s="94" t="s">
        <v>35</v>
      </c>
      <c r="I107" s="94" t="s">
        <v>36</v>
      </c>
      <c r="J107" s="94" t="s">
        <v>37</v>
      </c>
      <c r="K107" s="94" t="s">
        <v>38</v>
      </c>
      <c r="L107" s="94" t="s">
        <v>39</v>
      </c>
      <c r="M107" s="94" t="s">
        <v>40</v>
      </c>
      <c r="N107" s="94" t="s">
        <v>41</v>
      </c>
      <c r="O107" s="103" t="s">
        <v>385</v>
      </c>
    </row>
    <row r="108" spans="1:15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4"/>
    </row>
    <row r="109" spans="1:15" x14ac:dyDescent="0.25">
      <c r="A109" s="126" t="s">
        <v>386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7"/>
    </row>
    <row r="110" spans="1:15" x14ac:dyDescent="0.25">
      <c r="A110" s="102" t="s">
        <v>67</v>
      </c>
      <c r="B110" s="102" t="s">
        <v>271</v>
      </c>
      <c r="C110" s="102"/>
      <c r="D110" s="105"/>
      <c r="E110" s="105">
        <f t="shared" ref="E110:N110" si="41">E26</f>
        <v>44.307591299999977</v>
      </c>
      <c r="F110" s="105">
        <f t="shared" si="41"/>
        <v>125.09106609999992</v>
      </c>
      <c r="G110" s="105">
        <f t="shared" si="41"/>
        <v>190.86072452999994</v>
      </c>
      <c r="H110" s="105">
        <f t="shared" si="41"/>
        <v>197.84697026684105</v>
      </c>
      <c r="I110" s="105">
        <f t="shared" si="41"/>
        <v>229.50248550953557</v>
      </c>
      <c r="J110" s="105">
        <f t="shared" si="41"/>
        <v>261.63283348087054</v>
      </c>
      <c r="K110" s="105">
        <f t="shared" si="41"/>
        <v>293.02877349857511</v>
      </c>
      <c r="L110" s="105">
        <f t="shared" si="41"/>
        <v>322.33165084843256</v>
      </c>
      <c r="M110" s="105">
        <f t="shared" si="41"/>
        <v>348.11818291630721</v>
      </c>
      <c r="N110" s="105">
        <f t="shared" si="41"/>
        <v>369.00527389128575</v>
      </c>
      <c r="O110" s="104" t="s">
        <v>387</v>
      </c>
    </row>
    <row r="111" spans="1:15" x14ac:dyDescent="0.25">
      <c r="A111" s="102" t="s">
        <v>388</v>
      </c>
      <c r="B111" s="102" t="s">
        <v>271</v>
      </c>
      <c r="C111" s="102"/>
      <c r="D111" s="105"/>
      <c r="E111" s="105">
        <f t="shared" ref="E111:N111" si="42">E22</f>
        <v>13.433</v>
      </c>
      <c r="F111" s="105">
        <f t="shared" si="42"/>
        <v>45.655000000000001</v>
      </c>
      <c r="G111" s="105">
        <f t="shared" si="42"/>
        <v>27.3628</v>
      </c>
      <c r="H111" s="105">
        <f t="shared" si="42"/>
        <v>30.743634449999998</v>
      </c>
      <c r="I111" s="105">
        <f t="shared" si="42"/>
        <v>35.662615961999997</v>
      </c>
      <c r="J111" s="105">
        <f t="shared" si="42"/>
        <v>40.655382196680002</v>
      </c>
      <c r="K111" s="105">
        <f t="shared" si="42"/>
        <v>45.534028060281607</v>
      </c>
      <c r="L111" s="105">
        <f t="shared" si="42"/>
        <v>50.087430866309774</v>
      </c>
      <c r="M111" s="105">
        <f t="shared" si="42"/>
        <v>54.094425335614552</v>
      </c>
      <c r="N111" s="105">
        <f t="shared" si="42"/>
        <v>57.340090855751434</v>
      </c>
      <c r="O111" s="104" t="s">
        <v>389</v>
      </c>
    </row>
    <row r="112" spans="1:15" ht="23" x14ac:dyDescent="0.25">
      <c r="A112" s="102" t="s">
        <v>390</v>
      </c>
      <c r="B112" s="102" t="s">
        <v>271</v>
      </c>
      <c r="C112" s="102"/>
      <c r="D112" s="105"/>
      <c r="E112" s="105">
        <f t="shared" ref="E112:N112" si="43">-SUM(E73-D73,E76-D76,E78-D78)</f>
        <v>-146.709</v>
      </c>
      <c r="F112" s="105">
        <f t="shared" si="43"/>
        <v>-110.38999999999999</v>
      </c>
      <c r="G112" s="105">
        <f t="shared" si="43"/>
        <v>-123.86410000000002</v>
      </c>
      <c r="H112" s="105">
        <f t="shared" si="43"/>
        <v>-73.689678000000001</v>
      </c>
      <c r="I112" s="105">
        <f t="shared" si="43"/>
        <v>-77.292284479999921</v>
      </c>
      <c r="J112" s="105">
        <f t="shared" si="43"/>
        <v>-78.451668747200216</v>
      </c>
      <c r="K112" s="105">
        <f t="shared" si="43"/>
        <v>-76.658487747264019</v>
      </c>
      <c r="L112" s="105">
        <f t="shared" si="43"/>
        <v>-71.547921897446372</v>
      </c>
      <c r="M112" s="105">
        <f t="shared" si="43"/>
        <v>-62.962171269753014</v>
      </c>
      <c r="N112" s="105">
        <f t="shared" si="43"/>
        <v>-50.999358728500113</v>
      </c>
      <c r="O112" s="104" t="s">
        <v>391</v>
      </c>
    </row>
    <row r="113" spans="1:15" ht="34.5" x14ac:dyDescent="0.25">
      <c r="A113" s="102" t="s">
        <v>392</v>
      </c>
      <c r="B113" s="102" t="s">
        <v>271</v>
      </c>
      <c r="C113" s="102"/>
      <c r="D113" s="105"/>
      <c r="E113" s="105">
        <f t="shared" ref="E113:N113" si="44">SUM(E94-D94,E95-D95,E96-D96,E97-D97,E98-D98)</f>
        <v>220.61500000000004</v>
      </c>
      <c r="F113" s="105">
        <f t="shared" si="44"/>
        <v>145.565</v>
      </c>
      <c r="G113" s="105">
        <f t="shared" si="44"/>
        <v>-102.82030000000003</v>
      </c>
      <c r="H113" s="105">
        <f t="shared" si="44"/>
        <v>47.61318599999997</v>
      </c>
      <c r="I113" s="105">
        <f t="shared" si="44"/>
        <v>49.940941760000008</v>
      </c>
      <c r="J113" s="105">
        <f t="shared" si="44"/>
        <v>50.69005588640006</v>
      </c>
      <c r="K113" s="105">
        <f t="shared" si="44"/>
        <v>49.53142603756806</v>
      </c>
      <c r="L113" s="105">
        <f t="shared" si="44"/>
        <v>46.229330968396795</v>
      </c>
      <c r="M113" s="105">
        <f t="shared" si="44"/>
        <v>40.681811252189128</v>
      </c>
      <c r="N113" s="105">
        <f t="shared" si="44"/>
        <v>32.952267114273319</v>
      </c>
      <c r="O113" s="104" t="s">
        <v>393</v>
      </c>
    </row>
    <row r="114" spans="1:15" ht="23" x14ac:dyDescent="0.25">
      <c r="A114" s="106" t="s">
        <v>394</v>
      </c>
      <c r="B114" s="106" t="s">
        <v>271</v>
      </c>
      <c r="C114" s="106"/>
      <c r="D114" s="108"/>
      <c r="E114" s="108">
        <f t="shared" ref="E114:N114" si="45">SUM(E110:E113)</f>
        <v>131.64659130000001</v>
      </c>
      <c r="F114" s="108">
        <f t="shared" si="45"/>
        <v>205.92106609999993</v>
      </c>
      <c r="G114" s="108">
        <f t="shared" si="45"/>
        <v>-8.4608754700001185</v>
      </c>
      <c r="H114" s="108">
        <f t="shared" si="45"/>
        <v>202.51411271684105</v>
      </c>
      <c r="I114" s="108">
        <f t="shared" si="45"/>
        <v>237.81375875153569</v>
      </c>
      <c r="J114" s="108">
        <f t="shared" si="45"/>
        <v>274.52660281675043</v>
      </c>
      <c r="K114" s="108">
        <f t="shared" si="45"/>
        <v>311.43573984916077</v>
      </c>
      <c r="L114" s="108">
        <f t="shared" si="45"/>
        <v>347.10049078569273</v>
      </c>
      <c r="M114" s="108">
        <f t="shared" si="45"/>
        <v>379.93224823435787</v>
      </c>
      <c r="N114" s="108">
        <f t="shared" si="45"/>
        <v>408.29827313281038</v>
      </c>
      <c r="O114" s="107" t="s">
        <v>395</v>
      </c>
    </row>
    <row r="115" spans="1:15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4"/>
    </row>
    <row r="116" spans="1:15" x14ac:dyDescent="0.25">
      <c r="A116" s="126" t="s">
        <v>396</v>
      </c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7"/>
    </row>
    <row r="117" spans="1:15" ht="23" x14ac:dyDescent="0.25">
      <c r="A117" s="102" t="s">
        <v>68</v>
      </c>
      <c r="B117" s="102" t="s">
        <v>271</v>
      </c>
      <c r="C117" s="102"/>
      <c r="D117" s="105"/>
      <c r="E117" s="105">
        <f t="shared" ref="E117:N117" si="46">-E28</f>
        <v>-120.08199999999999</v>
      </c>
      <c r="F117" s="105">
        <f t="shared" si="46"/>
        <v>-1.077</v>
      </c>
      <c r="G117" s="105">
        <f t="shared" si="46"/>
        <v>-16.888999999999999</v>
      </c>
      <c r="H117" s="105">
        <f t="shared" si="46"/>
        <v>-24.594907559999996</v>
      </c>
      <c r="I117" s="105">
        <f t="shared" si="46"/>
        <v>-28.530092769599996</v>
      </c>
      <c r="J117" s="105">
        <f t="shared" si="46"/>
        <v>-32.524305757344003</v>
      </c>
      <c r="K117" s="105">
        <f t="shared" si="46"/>
        <v>-36.427222448225287</v>
      </c>
      <c r="L117" s="105">
        <f t="shared" si="46"/>
        <v>-40.069944693047816</v>
      </c>
      <c r="M117" s="105">
        <f t="shared" si="46"/>
        <v>-43.275540268491639</v>
      </c>
      <c r="N117" s="105">
        <f t="shared" si="46"/>
        <v>-45.872072684601143</v>
      </c>
      <c r="O117" s="104" t="s">
        <v>397</v>
      </c>
    </row>
    <row r="118" spans="1:15" ht="23" x14ac:dyDescent="0.25">
      <c r="A118" s="102" t="s">
        <v>398</v>
      </c>
      <c r="B118" s="102" t="s">
        <v>271</v>
      </c>
      <c r="C118" s="102"/>
      <c r="D118" s="105"/>
      <c r="E118" s="105">
        <f t="shared" ref="E118:N118" si="47">-(E72-D72)</f>
        <v>-35.099999999999994</v>
      </c>
      <c r="F118" s="105">
        <f t="shared" si="47"/>
        <v>115.095</v>
      </c>
      <c r="G118" s="105">
        <f t="shared" si="47"/>
        <v>0</v>
      </c>
      <c r="H118" s="105">
        <f t="shared" si="47"/>
        <v>0</v>
      </c>
      <c r="I118" s="105">
        <f t="shared" si="47"/>
        <v>0</v>
      </c>
      <c r="J118" s="105">
        <f t="shared" si="47"/>
        <v>0</v>
      </c>
      <c r="K118" s="105">
        <f t="shared" si="47"/>
        <v>0</v>
      </c>
      <c r="L118" s="105">
        <f t="shared" si="47"/>
        <v>0</v>
      </c>
      <c r="M118" s="105">
        <f t="shared" si="47"/>
        <v>0</v>
      </c>
      <c r="N118" s="105">
        <f t="shared" si="47"/>
        <v>0</v>
      </c>
      <c r="O118" s="104" t="s">
        <v>399</v>
      </c>
    </row>
    <row r="119" spans="1:15" ht="23" x14ac:dyDescent="0.25">
      <c r="A119" s="102" t="s">
        <v>400</v>
      </c>
      <c r="B119" s="102" t="s">
        <v>271</v>
      </c>
      <c r="C119" s="102"/>
      <c r="D119" s="105"/>
      <c r="E119" s="105">
        <f t="shared" ref="E119:N119" si="48">-(E75-D75)</f>
        <v>-21.311999999999998</v>
      </c>
      <c r="F119" s="105">
        <f t="shared" si="48"/>
        <v>-148.97300000000001</v>
      </c>
      <c r="G119" s="105">
        <f t="shared" si="48"/>
        <v>192.29140000000001</v>
      </c>
      <c r="H119" s="105">
        <f t="shared" si="48"/>
        <v>-5.3088479999999905</v>
      </c>
      <c r="I119" s="105">
        <f t="shared" si="48"/>
        <v>-5.5683916799999977</v>
      </c>
      <c r="J119" s="105">
        <f t="shared" si="48"/>
        <v>-5.6519175552000078</v>
      </c>
      <c r="K119" s="105">
        <f t="shared" si="48"/>
        <v>-5.5227308682240093</v>
      </c>
      <c r="L119" s="105">
        <f t="shared" si="48"/>
        <v>-5.1545488103423978</v>
      </c>
      <c r="M119" s="105">
        <f t="shared" si="48"/>
        <v>-4.5360029531013168</v>
      </c>
      <c r="N119" s="105">
        <f t="shared" si="48"/>
        <v>-3.6741623920120716</v>
      </c>
      <c r="O119" s="104" t="s">
        <v>401</v>
      </c>
    </row>
    <row r="120" spans="1:15" ht="23" x14ac:dyDescent="0.25">
      <c r="A120" s="102" t="s">
        <v>402</v>
      </c>
      <c r="B120" s="102" t="s">
        <v>271</v>
      </c>
      <c r="C120" s="102"/>
      <c r="D120" s="105"/>
      <c r="E120" s="105">
        <f t="shared" ref="E120:N120" si="49">-SUM(E64-D64,E65-D65)</f>
        <v>-17.560000000000002</v>
      </c>
      <c r="F120" s="105">
        <f t="shared" si="49"/>
        <v>-138.05200000000002</v>
      </c>
      <c r="G120" s="105">
        <f t="shared" si="49"/>
        <v>13.016900000000003</v>
      </c>
      <c r="H120" s="105">
        <f t="shared" si="49"/>
        <v>3.5363470542079796</v>
      </c>
      <c r="I120" s="105">
        <f t="shared" si="49"/>
        <v>4.1021625828812915</v>
      </c>
      <c r="J120" s="105">
        <f t="shared" si="49"/>
        <v>4.6764653444846616</v>
      </c>
      <c r="K120" s="105">
        <f t="shared" si="49"/>
        <v>5.2376411858228202</v>
      </c>
      <c r="L120" s="105">
        <f t="shared" si="49"/>
        <v>5.7614053044050877</v>
      </c>
      <c r="M120" s="105">
        <f t="shared" si="49"/>
        <v>6.2223177287575098</v>
      </c>
      <c r="N120" s="105">
        <f t="shared" si="49"/>
        <v>6.5956567924829628</v>
      </c>
      <c r="O120" s="104" t="s">
        <v>403</v>
      </c>
    </row>
    <row r="121" spans="1:15" ht="23" x14ac:dyDescent="0.25">
      <c r="A121" s="102" t="s">
        <v>404</v>
      </c>
      <c r="B121" s="102" t="s">
        <v>271</v>
      </c>
      <c r="C121" s="102"/>
      <c r="D121" s="105"/>
      <c r="E121" s="105">
        <f t="shared" ref="E121:N121" si="50">-SUM(E60-D60,E61-D61)</f>
        <v>-7.74</v>
      </c>
      <c r="F121" s="105">
        <f t="shared" si="50"/>
        <v>-4.2339999999999991</v>
      </c>
      <c r="G121" s="105">
        <f t="shared" si="50"/>
        <v>-17.650399999999998</v>
      </c>
      <c r="H121" s="105">
        <f t="shared" si="50"/>
        <v>0.64945967206389987</v>
      </c>
      <c r="I121" s="105">
        <f t="shared" si="50"/>
        <v>0.75337321959413206</v>
      </c>
      <c r="J121" s="105">
        <f t="shared" si="50"/>
        <v>0.85884547033730918</v>
      </c>
      <c r="K121" s="105">
        <f t="shared" si="50"/>
        <v>0.96190692677778955</v>
      </c>
      <c r="L121" s="105">
        <f t="shared" si="50"/>
        <v>1.0580976194555607</v>
      </c>
      <c r="M121" s="105">
        <f t="shared" si="50"/>
        <v>1.1427454290120123</v>
      </c>
      <c r="N121" s="105">
        <f t="shared" si="50"/>
        <v>1.2113101547527281</v>
      </c>
      <c r="O121" s="104" t="s">
        <v>405</v>
      </c>
    </row>
    <row r="122" spans="1:15" x14ac:dyDescent="0.25">
      <c r="A122" s="106" t="s">
        <v>406</v>
      </c>
      <c r="B122" s="106" t="s">
        <v>271</v>
      </c>
      <c r="C122" s="106"/>
      <c r="D122" s="108"/>
      <c r="E122" s="108">
        <f t="shared" ref="E122:N122" si="51">SUM(E117:E121)</f>
        <v>-201.79399999999998</v>
      </c>
      <c r="F122" s="108">
        <f t="shared" si="51"/>
        <v>-177.24100000000004</v>
      </c>
      <c r="G122" s="108">
        <f t="shared" si="51"/>
        <v>170.7689</v>
      </c>
      <c r="H122" s="108">
        <f t="shared" si="51"/>
        <v>-25.717948833728109</v>
      </c>
      <c r="I122" s="108">
        <f t="shared" si="51"/>
        <v>-29.242948647124571</v>
      </c>
      <c r="J122" s="108">
        <f t="shared" si="51"/>
        <v>-32.640912497722042</v>
      </c>
      <c r="K122" s="108">
        <f t="shared" si="51"/>
        <v>-35.750405203848686</v>
      </c>
      <c r="L122" s="108">
        <f t="shared" si="51"/>
        <v>-38.404990579529567</v>
      </c>
      <c r="M122" s="108">
        <f t="shared" si="51"/>
        <v>-40.446480063823437</v>
      </c>
      <c r="N122" s="108">
        <f t="shared" si="51"/>
        <v>-41.739268129377521</v>
      </c>
      <c r="O122" s="107" t="s">
        <v>407</v>
      </c>
    </row>
    <row r="123" spans="1:15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4"/>
    </row>
    <row r="124" spans="1:15" x14ac:dyDescent="0.25">
      <c r="A124" s="126" t="s">
        <v>408</v>
      </c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7"/>
    </row>
    <row r="125" spans="1:15" ht="23" x14ac:dyDescent="0.25">
      <c r="A125" s="102" t="s">
        <v>409</v>
      </c>
      <c r="B125" s="102" t="s">
        <v>271</v>
      </c>
      <c r="C125" s="102"/>
      <c r="D125" s="105"/>
      <c r="E125" s="105">
        <f t="shared" ref="E125:N125" si="52">SUM(E83-D83,E92-D92)</f>
        <v>0</v>
      </c>
      <c r="F125" s="105">
        <f t="shared" si="52"/>
        <v>0</v>
      </c>
      <c r="G125" s="105">
        <f t="shared" si="52"/>
        <v>1.7548999999999999</v>
      </c>
      <c r="H125" s="105">
        <f t="shared" si="52"/>
        <v>0.315882</v>
      </c>
      <c r="I125" s="105">
        <f t="shared" si="52"/>
        <v>0.33132512000000003</v>
      </c>
      <c r="J125" s="105">
        <f t="shared" si="52"/>
        <v>0.33629499680000041</v>
      </c>
      <c r="K125" s="105">
        <f t="shared" si="52"/>
        <v>0.32860825401600047</v>
      </c>
      <c r="L125" s="105">
        <f t="shared" si="52"/>
        <v>0.30670103708160013</v>
      </c>
      <c r="M125" s="105">
        <f t="shared" si="52"/>
        <v>0.26989691263180782</v>
      </c>
      <c r="N125" s="105">
        <f t="shared" si="52"/>
        <v>0.21861649923176518</v>
      </c>
      <c r="O125" s="104" t="s">
        <v>410</v>
      </c>
    </row>
    <row r="126" spans="1:15" ht="23" x14ac:dyDescent="0.25">
      <c r="A126" s="102" t="s">
        <v>411</v>
      </c>
      <c r="B126" s="102" t="s">
        <v>271</v>
      </c>
      <c r="C126" s="102"/>
      <c r="D126" s="105"/>
      <c r="E126" s="105">
        <f t="shared" ref="E126:N126" si="53">SUM(E84-D84,E93-D93)</f>
        <v>0</v>
      </c>
      <c r="F126" s="105">
        <f t="shared" si="53"/>
        <v>0</v>
      </c>
      <c r="G126" s="105">
        <f t="shared" si="53"/>
        <v>-3.0000000000000859E-4</v>
      </c>
      <c r="H126" s="105">
        <f t="shared" si="53"/>
        <v>1.488600000000001E-2</v>
      </c>
      <c r="I126" s="105">
        <f t="shared" si="53"/>
        <v>1.5613760000000004E-2</v>
      </c>
      <c r="J126" s="105">
        <f t="shared" si="53"/>
        <v>1.5847966400000024E-2</v>
      </c>
      <c r="K126" s="105">
        <f t="shared" si="53"/>
        <v>1.5485727168000007E-2</v>
      </c>
      <c r="L126" s="105">
        <f t="shared" si="53"/>
        <v>1.445334535680004E-2</v>
      </c>
      <c r="M126" s="105">
        <f t="shared" si="53"/>
        <v>1.2718943913983982E-2</v>
      </c>
      <c r="N126" s="105">
        <f t="shared" si="53"/>
        <v>1.0302344570327082E-2</v>
      </c>
      <c r="O126" s="104" t="s">
        <v>412</v>
      </c>
    </row>
    <row r="127" spans="1:15" ht="46" x14ac:dyDescent="0.25">
      <c r="A127" s="102" t="s">
        <v>413</v>
      </c>
      <c r="B127" s="102" t="s">
        <v>271</v>
      </c>
      <c r="C127" s="102"/>
      <c r="D127" s="105"/>
      <c r="E127" s="105">
        <f t="shared" ref="E127:N127" si="54">E132-E114-E122-E125-E126</f>
        <v>104.65740869999996</v>
      </c>
      <c r="F127" s="105">
        <f t="shared" si="54"/>
        <v>9.9269339000001082</v>
      </c>
      <c r="G127" s="105">
        <f t="shared" si="54"/>
        <v>-117.3462245299999</v>
      </c>
      <c r="H127" s="105">
        <f t="shared" si="54"/>
        <v>-152.72911988311293</v>
      </c>
      <c r="I127" s="105">
        <f t="shared" si="54"/>
        <v>-183.32715506441116</v>
      </c>
      <c r="J127" s="105">
        <f t="shared" si="54"/>
        <v>-216.26338045342834</v>
      </c>
      <c r="K127" s="105">
        <f t="shared" si="54"/>
        <v>-250.64867757664004</v>
      </c>
      <c r="L127" s="105">
        <f t="shared" si="54"/>
        <v>-285.32795360873592</v>
      </c>
      <c r="M127" s="105">
        <f t="shared" si="54"/>
        <v>-318.92232716479845</v>
      </c>
      <c r="N127" s="105">
        <f t="shared" si="54"/>
        <v>-349.9026177887867</v>
      </c>
      <c r="O127" s="104" t="s">
        <v>414</v>
      </c>
    </row>
    <row r="128" spans="1:15" x14ac:dyDescent="0.25">
      <c r="A128" s="106" t="s">
        <v>415</v>
      </c>
      <c r="B128" s="106" t="s">
        <v>271</v>
      </c>
      <c r="C128" s="106"/>
      <c r="D128" s="108"/>
      <c r="E128" s="108">
        <f t="shared" ref="E128:N128" si="55">SUM(E125:E127)</f>
        <v>104.65740869999996</v>
      </c>
      <c r="F128" s="108">
        <f t="shared" si="55"/>
        <v>9.9269339000001082</v>
      </c>
      <c r="G128" s="108">
        <f t="shared" si="55"/>
        <v>-115.5916245299999</v>
      </c>
      <c r="H128" s="108">
        <f t="shared" si="55"/>
        <v>-152.39835188311292</v>
      </c>
      <c r="I128" s="108">
        <f t="shared" si="55"/>
        <v>-182.98021618441115</v>
      </c>
      <c r="J128" s="108">
        <f t="shared" si="55"/>
        <v>-215.91123749022833</v>
      </c>
      <c r="K128" s="108">
        <f t="shared" si="55"/>
        <v>-250.30458359545605</v>
      </c>
      <c r="L128" s="108">
        <f t="shared" si="55"/>
        <v>-285.00679922629752</v>
      </c>
      <c r="M128" s="108">
        <f t="shared" si="55"/>
        <v>-318.63971130825263</v>
      </c>
      <c r="N128" s="108">
        <f t="shared" si="55"/>
        <v>-349.67369894498461</v>
      </c>
      <c r="O128" s="107" t="s">
        <v>416</v>
      </c>
    </row>
    <row r="129" spans="1:15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4"/>
    </row>
    <row r="130" spans="1:15" x14ac:dyDescent="0.25">
      <c r="A130" s="126" t="s">
        <v>417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7"/>
    </row>
    <row r="131" spans="1:15" ht="23" x14ac:dyDescent="0.25">
      <c r="A131" s="102" t="s">
        <v>418</v>
      </c>
      <c r="B131" s="102" t="s">
        <v>271</v>
      </c>
      <c r="C131" s="102"/>
      <c r="D131" s="105"/>
      <c r="E131" s="105">
        <f t="shared" ref="E131:N131" si="56">D74</f>
        <v>15.71</v>
      </c>
      <c r="F131" s="105">
        <f t="shared" si="56"/>
        <v>50.22</v>
      </c>
      <c r="G131" s="105">
        <f t="shared" si="56"/>
        <v>88.826999999999998</v>
      </c>
      <c r="H131" s="105">
        <f t="shared" si="56"/>
        <v>135.54339999999999</v>
      </c>
      <c r="I131" s="105">
        <f t="shared" si="56"/>
        <v>159.94121199999998</v>
      </c>
      <c r="J131" s="105">
        <f t="shared" si="56"/>
        <v>185.53180591999995</v>
      </c>
      <c r="K131" s="105">
        <f t="shared" si="56"/>
        <v>211.50625874880001</v>
      </c>
      <c r="L131" s="105">
        <f t="shared" si="56"/>
        <v>236.88700979865601</v>
      </c>
      <c r="M131" s="105">
        <f t="shared" si="56"/>
        <v>260.57571077852162</v>
      </c>
      <c r="N131" s="105">
        <f t="shared" si="56"/>
        <v>281.42176764080335</v>
      </c>
      <c r="O131" s="104" t="s">
        <v>419</v>
      </c>
    </row>
    <row r="132" spans="1:15" x14ac:dyDescent="0.25">
      <c r="A132" s="102" t="s">
        <v>420</v>
      </c>
      <c r="B132" s="102" t="s">
        <v>271</v>
      </c>
      <c r="C132" s="102"/>
      <c r="D132" s="105"/>
      <c r="E132" s="105">
        <f t="shared" ref="E132:N132" si="57">E74-D74</f>
        <v>34.51</v>
      </c>
      <c r="F132" s="105">
        <f t="shared" si="57"/>
        <v>38.606999999999999</v>
      </c>
      <c r="G132" s="105">
        <f t="shared" si="57"/>
        <v>46.716399999999993</v>
      </c>
      <c r="H132" s="105">
        <f t="shared" si="57"/>
        <v>24.397811999999988</v>
      </c>
      <c r="I132" s="105">
        <f t="shared" si="57"/>
        <v>25.590593919999975</v>
      </c>
      <c r="J132" s="105">
        <f t="shared" si="57"/>
        <v>25.974452828800054</v>
      </c>
      <c r="K132" s="105">
        <f t="shared" si="57"/>
        <v>25.380751049856002</v>
      </c>
      <c r="L132" s="105">
        <f t="shared" si="57"/>
        <v>23.688700979865615</v>
      </c>
      <c r="M132" s="105">
        <f t="shared" si="57"/>
        <v>20.846056862281728</v>
      </c>
      <c r="N132" s="105">
        <f t="shared" si="57"/>
        <v>16.885306058448236</v>
      </c>
      <c r="O132" s="104" t="s">
        <v>421</v>
      </c>
    </row>
    <row r="133" spans="1:15" x14ac:dyDescent="0.25">
      <c r="A133" s="106" t="s">
        <v>422</v>
      </c>
      <c r="B133" s="106" t="s">
        <v>271</v>
      </c>
      <c r="C133" s="106"/>
      <c r="D133" s="108"/>
      <c r="E133" s="108">
        <f t="shared" ref="E133:N133" si="58">E131+E132</f>
        <v>50.22</v>
      </c>
      <c r="F133" s="108">
        <f t="shared" si="58"/>
        <v>88.826999999999998</v>
      </c>
      <c r="G133" s="108">
        <f t="shared" si="58"/>
        <v>135.54339999999999</v>
      </c>
      <c r="H133" s="108">
        <f t="shared" si="58"/>
        <v>159.94121199999998</v>
      </c>
      <c r="I133" s="108">
        <f t="shared" si="58"/>
        <v>185.53180591999995</v>
      </c>
      <c r="J133" s="108">
        <f t="shared" si="58"/>
        <v>211.50625874880001</v>
      </c>
      <c r="K133" s="108">
        <f t="shared" si="58"/>
        <v>236.88700979865601</v>
      </c>
      <c r="L133" s="108">
        <f t="shared" si="58"/>
        <v>260.57571077852162</v>
      </c>
      <c r="M133" s="108">
        <f t="shared" si="58"/>
        <v>281.42176764080335</v>
      </c>
      <c r="N133" s="108">
        <f t="shared" si="58"/>
        <v>298.30707369925159</v>
      </c>
      <c r="O133" s="107" t="s">
        <v>423</v>
      </c>
    </row>
    <row r="134" spans="1:15" ht="23" x14ac:dyDescent="0.25">
      <c r="A134" s="102" t="s">
        <v>424</v>
      </c>
      <c r="B134" s="102" t="s">
        <v>271</v>
      </c>
      <c r="C134" s="102"/>
      <c r="D134" s="105"/>
      <c r="E134" s="105">
        <f t="shared" ref="E134:N134" si="59">E74</f>
        <v>50.22</v>
      </c>
      <c r="F134" s="105">
        <f t="shared" si="59"/>
        <v>88.826999999999998</v>
      </c>
      <c r="G134" s="105">
        <f t="shared" si="59"/>
        <v>135.54339999999999</v>
      </c>
      <c r="H134" s="105">
        <f t="shared" si="59"/>
        <v>159.94121199999998</v>
      </c>
      <c r="I134" s="105">
        <f t="shared" si="59"/>
        <v>185.53180591999995</v>
      </c>
      <c r="J134" s="105">
        <f t="shared" si="59"/>
        <v>211.50625874880001</v>
      </c>
      <c r="K134" s="105">
        <f t="shared" si="59"/>
        <v>236.88700979865601</v>
      </c>
      <c r="L134" s="105">
        <f t="shared" si="59"/>
        <v>260.57571077852162</v>
      </c>
      <c r="M134" s="105">
        <f t="shared" si="59"/>
        <v>281.42176764080335</v>
      </c>
      <c r="N134" s="105">
        <f t="shared" si="59"/>
        <v>298.30707369925159</v>
      </c>
      <c r="O134" s="104" t="s">
        <v>425</v>
      </c>
    </row>
    <row r="135" spans="1:15" ht="23" x14ac:dyDescent="0.25">
      <c r="A135" s="106" t="s">
        <v>426</v>
      </c>
      <c r="B135" s="106" t="s">
        <v>271</v>
      </c>
      <c r="C135" s="106"/>
      <c r="D135" s="109"/>
      <c r="E135" s="109">
        <f t="shared" ref="E135:N135" si="60">E133-E134</f>
        <v>0</v>
      </c>
      <c r="F135" s="109">
        <f t="shared" si="60"/>
        <v>0</v>
      </c>
      <c r="G135" s="109">
        <f t="shared" si="60"/>
        <v>0</v>
      </c>
      <c r="H135" s="109">
        <f t="shared" si="60"/>
        <v>0</v>
      </c>
      <c r="I135" s="109">
        <f t="shared" si="60"/>
        <v>0</v>
      </c>
      <c r="J135" s="109">
        <f t="shared" si="60"/>
        <v>0</v>
      </c>
      <c r="K135" s="109">
        <f t="shared" si="60"/>
        <v>0</v>
      </c>
      <c r="L135" s="109">
        <f t="shared" si="60"/>
        <v>0</v>
      </c>
      <c r="M135" s="109">
        <f t="shared" si="60"/>
        <v>0</v>
      </c>
      <c r="N135" s="109">
        <f t="shared" si="60"/>
        <v>0</v>
      </c>
      <c r="O135" s="107" t="s">
        <v>427</v>
      </c>
    </row>
    <row r="136" spans="1:15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</sheetData>
  <mergeCells count="19">
    <mergeCell ref="A45:N45"/>
    <mergeCell ref="A52:N52"/>
    <mergeCell ref="C53:N53"/>
    <mergeCell ref="C54:N54"/>
    <mergeCell ref="A1:N1"/>
    <mergeCell ref="A2:N2"/>
    <mergeCell ref="A5:N5"/>
    <mergeCell ref="A27:N27"/>
    <mergeCell ref="A34:N34"/>
    <mergeCell ref="A56:O56"/>
    <mergeCell ref="A58:O58"/>
    <mergeCell ref="A71:O71"/>
    <mergeCell ref="A82:O82"/>
    <mergeCell ref="A91:O91"/>
    <mergeCell ref="A106:O106"/>
    <mergeCell ref="A109:O109"/>
    <mergeCell ref="A116:O116"/>
    <mergeCell ref="A124:O124"/>
    <mergeCell ref="A130:O130"/>
  </mergeCells>
  <printOptions horizontalCentered="1"/>
  <pageMargins left="0.5" right="0.5" top="0.5" bottom="0.5" header="0.3" footer="0.3"/>
  <pageSetup scale="62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666D-8BD2-4E32-B140-889EFC6C2000}">
  <sheetPr>
    <tabColor rgb="FF006B6B"/>
    <pageSetUpPr fitToPage="1"/>
  </sheetPr>
  <dimension ref="A1:J8"/>
  <sheetViews>
    <sheetView showGridLines="0" workbookViewId="0">
      <selection activeCell="A8" sqref="A8"/>
    </sheetView>
  </sheetViews>
  <sheetFormatPr defaultRowHeight="13" x14ac:dyDescent="0.3"/>
  <cols>
    <col min="1" max="1" width="30.109375" style="2" bestFit="1" customWidth="1"/>
    <col min="2" max="2" width="9.77734375" style="2" bestFit="1" customWidth="1"/>
    <col min="3" max="9" width="9.6640625" style="2" bestFit="1" customWidth="1"/>
    <col min="10" max="10" width="36.44140625" style="2" bestFit="1" customWidth="1"/>
    <col min="11" max="16384" width="8.88671875" style="2"/>
  </cols>
  <sheetData>
    <row r="1" spans="1:10" x14ac:dyDescent="0.3">
      <c r="A1" s="112" t="s">
        <v>90</v>
      </c>
      <c r="B1" s="112"/>
      <c r="C1" s="112"/>
      <c r="D1" s="112"/>
      <c r="E1" s="112"/>
      <c r="F1" s="112"/>
      <c r="G1" s="112"/>
      <c r="H1" s="112"/>
      <c r="I1" s="112"/>
      <c r="J1" s="112"/>
    </row>
    <row r="4" spans="1:10" x14ac:dyDescent="0.3">
      <c r="A4" s="12" t="s">
        <v>34</v>
      </c>
      <c r="B4" s="12" t="s">
        <v>57</v>
      </c>
      <c r="C4" s="12" t="s">
        <v>35</v>
      </c>
      <c r="D4" s="12" t="s">
        <v>36</v>
      </c>
      <c r="E4" s="12" t="s">
        <v>37</v>
      </c>
      <c r="F4" s="12" t="s">
        <v>38</v>
      </c>
      <c r="G4" s="12" t="s">
        <v>39</v>
      </c>
      <c r="H4" s="12" t="s">
        <v>40</v>
      </c>
      <c r="I4" s="12" t="s">
        <v>41</v>
      </c>
      <c r="J4" s="12" t="s">
        <v>91</v>
      </c>
    </row>
    <row r="5" spans="1:10" x14ac:dyDescent="0.3">
      <c r="A5" s="14" t="s">
        <v>92</v>
      </c>
      <c r="B5" s="26">
        <f>'PL&amp;BS'!G6</f>
        <v>1042.1570999999999</v>
      </c>
      <c r="C5" s="26">
        <f>'PL&amp;BS'!H6</f>
        <v>1229.7453779999998</v>
      </c>
      <c r="D5" s="26">
        <f>'PL&amp;BS'!I6</f>
        <v>1426.5046384799998</v>
      </c>
      <c r="E5" s="26">
        <f>'PL&amp;BS'!J6</f>
        <v>1626.2152878672</v>
      </c>
      <c r="F5" s="26">
        <f>'PL&amp;BS'!K6</f>
        <v>1821.3611224112642</v>
      </c>
      <c r="G5" s="26">
        <f>'PL&amp;BS'!L6</f>
        <v>2003.4972346523907</v>
      </c>
      <c r="H5" s="26">
        <f>'PL&amp;BS'!M6</f>
        <v>2163.777013424582</v>
      </c>
      <c r="I5" s="26">
        <f>'PL&amp;BS'!N6</f>
        <v>2293.6036342300572</v>
      </c>
      <c r="J5" s="14" t="s">
        <v>95</v>
      </c>
    </row>
    <row r="6" spans="1:10" x14ac:dyDescent="0.3">
      <c r="A6" s="14" t="s">
        <v>45</v>
      </c>
      <c r="B6" s="90">
        <f>'PL&amp;BS'!$G$31</f>
        <v>4.7123287671232876E-3</v>
      </c>
      <c r="C6" s="90">
        <v>0.01</v>
      </c>
      <c r="D6" s="90">
        <f>C6</f>
        <v>0.01</v>
      </c>
      <c r="E6" s="90">
        <f t="shared" ref="E6:I6" si="0">D6</f>
        <v>0.01</v>
      </c>
      <c r="F6" s="90">
        <f t="shared" si="0"/>
        <v>0.01</v>
      </c>
      <c r="G6" s="90">
        <f t="shared" si="0"/>
        <v>0.01</v>
      </c>
      <c r="H6" s="90">
        <f t="shared" si="0"/>
        <v>0.01</v>
      </c>
      <c r="I6" s="90">
        <f t="shared" si="0"/>
        <v>0.01</v>
      </c>
      <c r="J6" s="14" t="s">
        <v>96</v>
      </c>
    </row>
    <row r="7" spans="1:10" x14ac:dyDescent="0.3">
      <c r="A7" s="28" t="s">
        <v>93</v>
      </c>
      <c r="B7" s="29">
        <f>B5*B6</f>
        <v>4.9109868821917804</v>
      </c>
      <c r="C7" s="29">
        <f t="shared" ref="C7:I7" si="1">C5*C6</f>
        <v>12.297453779999998</v>
      </c>
      <c r="D7" s="29">
        <f t="shared" si="1"/>
        <v>14.265046384799998</v>
      </c>
      <c r="E7" s="29">
        <f t="shared" si="1"/>
        <v>16.262152878672001</v>
      </c>
      <c r="F7" s="29">
        <f t="shared" si="1"/>
        <v>18.213611224112643</v>
      </c>
      <c r="G7" s="29">
        <f t="shared" si="1"/>
        <v>20.034972346523908</v>
      </c>
      <c r="H7" s="29">
        <f t="shared" si="1"/>
        <v>21.63777013424582</v>
      </c>
      <c r="I7" s="29">
        <f t="shared" si="1"/>
        <v>22.936036342300572</v>
      </c>
      <c r="J7" s="14" t="s">
        <v>97</v>
      </c>
    </row>
    <row r="8" spans="1:10" x14ac:dyDescent="0.3">
      <c r="A8" s="28" t="s">
        <v>94</v>
      </c>
      <c r="B8" s="29">
        <v>0</v>
      </c>
      <c r="C8" s="29">
        <f>C7-B7</f>
        <v>7.3864668978082175</v>
      </c>
      <c r="D8" s="29">
        <f t="shared" ref="D8:I8" si="2">D7-C7</f>
        <v>1.9675926048000001</v>
      </c>
      <c r="E8" s="29">
        <f t="shared" si="2"/>
        <v>1.9971064938720033</v>
      </c>
      <c r="F8" s="29">
        <f t="shared" si="2"/>
        <v>1.951458345440642</v>
      </c>
      <c r="G8" s="29">
        <f t="shared" si="2"/>
        <v>1.8213611224112647</v>
      </c>
      <c r="H8" s="29">
        <f t="shared" si="2"/>
        <v>1.6027977877219115</v>
      </c>
      <c r="I8" s="29">
        <f t="shared" si="2"/>
        <v>1.298266208054752</v>
      </c>
      <c r="J8" s="14" t="s">
        <v>98</v>
      </c>
    </row>
  </sheetData>
  <mergeCells count="1">
    <mergeCell ref="A1:J1"/>
  </mergeCells>
  <printOptions horizontalCentered="1"/>
  <pageMargins left="0.5" right="0.5" top="0.5" bottom="0.5" header="0.3" footer="0.3"/>
  <pageSetup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8C47-B68B-40E1-BEA7-525DC4431DFA}">
  <sheetPr>
    <tabColor rgb="FF7030A0"/>
    <pageSetUpPr fitToPage="1"/>
  </sheetPr>
  <dimension ref="A1:E12"/>
  <sheetViews>
    <sheetView showGridLines="0" workbookViewId="0">
      <selection activeCell="C8" sqref="C8"/>
    </sheetView>
  </sheetViews>
  <sheetFormatPr defaultRowHeight="13" x14ac:dyDescent="0.3"/>
  <cols>
    <col min="1" max="1" width="13.33203125" style="48" customWidth="1"/>
    <col min="2" max="2" width="60.77734375" style="48" customWidth="1"/>
    <col min="3" max="3" width="23.109375" style="48" customWidth="1"/>
    <col min="4" max="4" width="30.88671875" style="48" customWidth="1"/>
    <col min="5" max="5" width="48.77734375" style="48" customWidth="1"/>
    <col min="6" max="16384" width="8.88671875" style="2"/>
  </cols>
  <sheetData>
    <row r="1" spans="1:5" x14ac:dyDescent="0.3">
      <c r="A1" s="133" t="s">
        <v>162</v>
      </c>
      <c r="B1" s="133"/>
      <c r="C1" s="133"/>
      <c r="D1" s="133"/>
      <c r="E1" s="133"/>
    </row>
    <row r="3" spans="1:5" x14ac:dyDescent="0.3">
      <c r="A3" s="49" t="s">
        <v>163</v>
      </c>
      <c r="B3" s="49" t="s">
        <v>164</v>
      </c>
      <c r="C3" s="49" t="s">
        <v>165</v>
      </c>
      <c r="D3" s="49" t="s">
        <v>166</v>
      </c>
      <c r="E3" s="49" t="s">
        <v>21</v>
      </c>
    </row>
    <row r="4" spans="1:5" ht="26" x14ac:dyDescent="0.3">
      <c r="A4" s="51" t="s">
        <v>167</v>
      </c>
      <c r="B4" s="52" t="s">
        <v>168</v>
      </c>
      <c r="C4" s="50" t="s">
        <v>169</v>
      </c>
      <c r="D4" s="50" t="s">
        <v>170</v>
      </c>
      <c r="E4" s="50" t="s">
        <v>171</v>
      </c>
    </row>
    <row r="5" spans="1:5" ht="26" x14ac:dyDescent="0.3">
      <c r="A5" s="51" t="s">
        <v>172</v>
      </c>
      <c r="B5" s="52" t="s">
        <v>173</v>
      </c>
      <c r="C5" s="50" t="s">
        <v>174</v>
      </c>
      <c r="D5" s="50" t="s">
        <v>175</v>
      </c>
      <c r="E5" s="50" t="s">
        <v>176</v>
      </c>
    </row>
    <row r="6" spans="1:5" ht="26" x14ac:dyDescent="0.3">
      <c r="A6" s="51" t="s">
        <v>177</v>
      </c>
      <c r="B6" s="52" t="s">
        <v>178</v>
      </c>
      <c r="C6" s="50" t="s">
        <v>179</v>
      </c>
      <c r="D6" s="50" t="s">
        <v>180</v>
      </c>
      <c r="E6" s="50" t="s">
        <v>176</v>
      </c>
    </row>
    <row r="7" spans="1:5" ht="26" x14ac:dyDescent="0.3">
      <c r="A7" s="51" t="s">
        <v>181</v>
      </c>
      <c r="B7" s="52" t="s">
        <v>182</v>
      </c>
      <c r="C7" s="50" t="s">
        <v>183</v>
      </c>
      <c r="D7" s="50" t="s">
        <v>184</v>
      </c>
      <c r="E7" s="50" t="s">
        <v>176</v>
      </c>
    </row>
    <row r="8" spans="1:5" ht="26" x14ac:dyDescent="0.3">
      <c r="A8" s="51" t="s">
        <v>185</v>
      </c>
      <c r="B8" s="52" t="s">
        <v>186</v>
      </c>
      <c r="C8" s="50" t="s">
        <v>187</v>
      </c>
      <c r="D8" s="50" t="s">
        <v>188</v>
      </c>
      <c r="E8" s="50" t="s">
        <v>189</v>
      </c>
    </row>
    <row r="9" spans="1:5" ht="26" x14ac:dyDescent="0.3">
      <c r="A9" s="51" t="s">
        <v>190</v>
      </c>
      <c r="B9" s="52" t="s">
        <v>191</v>
      </c>
      <c r="C9" s="50" t="s">
        <v>192</v>
      </c>
      <c r="D9" s="50" t="s">
        <v>193</v>
      </c>
      <c r="E9" s="50" t="s">
        <v>194</v>
      </c>
    </row>
    <row r="10" spans="1:5" ht="26" x14ac:dyDescent="0.3">
      <c r="A10" s="51" t="s">
        <v>195</v>
      </c>
      <c r="B10" s="52" t="s">
        <v>196</v>
      </c>
      <c r="C10" s="50" t="s">
        <v>197</v>
      </c>
      <c r="D10" s="50" t="s">
        <v>198</v>
      </c>
      <c r="E10" s="50" t="s">
        <v>199</v>
      </c>
    </row>
    <row r="11" spans="1:5" ht="39" x14ac:dyDescent="0.3">
      <c r="A11" s="89" t="s">
        <v>276</v>
      </c>
      <c r="B11" s="89" t="s">
        <v>277</v>
      </c>
      <c r="C11" s="89"/>
      <c r="D11" s="89"/>
      <c r="E11" s="89"/>
    </row>
    <row r="12" spans="1:5" ht="39" x14ac:dyDescent="0.3">
      <c r="A12" s="89" t="s">
        <v>276</v>
      </c>
      <c r="B12" s="89" t="s">
        <v>278</v>
      </c>
      <c r="C12" s="89"/>
      <c r="D12" s="89"/>
      <c r="E12" s="89"/>
    </row>
  </sheetData>
  <mergeCells count="1">
    <mergeCell ref="A1:E1"/>
  </mergeCells>
  <printOptions horizontalCentered="1"/>
  <pageMargins left="0.5" right="0.5" top="0.5" bottom="0.5" header="0.3" footer="0.3"/>
  <pageSetup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CCB8-C8B1-44D6-9FA0-E372B242DE81}">
  <sheetPr>
    <tabColor rgb="FF008000"/>
    <pageSetUpPr fitToPage="1"/>
  </sheetPr>
  <dimension ref="A1:G11"/>
  <sheetViews>
    <sheetView showGridLines="0" workbookViewId="0">
      <selection activeCell="E7" sqref="E7"/>
    </sheetView>
  </sheetViews>
  <sheetFormatPr defaultRowHeight="13" x14ac:dyDescent="0.3"/>
  <cols>
    <col min="1" max="1" width="25.109375" style="2" bestFit="1" customWidth="1"/>
    <col min="2" max="2" width="9.6640625" style="2" bestFit="1" customWidth="1"/>
    <col min="3" max="3" width="10.44140625" style="2" bestFit="1" customWidth="1"/>
    <col min="4" max="4" width="11.6640625" style="2" bestFit="1" customWidth="1"/>
    <col min="5" max="5" width="11" style="2" bestFit="1" customWidth="1"/>
    <col min="6" max="6" width="7.5546875" style="2" bestFit="1" customWidth="1"/>
    <col min="7" max="7" width="37.109375" style="2" bestFit="1" customWidth="1"/>
    <col min="8" max="16384" width="8.88671875" style="2"/>
  </cols>
  <sheetData>
    <row r="1" spans="1:7" x14ac:dyDescent="0.3">
      <c r="A1" s="112" t="s">
        <v>200</v>
      </c>
      <c r="B1" s="112"/>
      <c r="C1" s="112"/>
      <c r="D1" s="112"/>
      <c r="E1" s="112"/>
      <c r="F1" s="112"/>
      <c r="G1" s="112"/>
    </row>
    <row r="4" spans="1:7" x14ac:dyDescent="0.3">
      <c r="A4" s="12" t="s">
        <v>201</v>
      </c>
      <c r="B4" s="12" t="s">
        <v>202</v>
      </c>
      <c r="C4" s="12" t="s">
        <v>203</v>
      </c>
      <c r="D4" s="12" t="s">
        <v>204</v>
      </c>
      <c r="E4" s="12" t="s">
        <v>205</v>
      </c>
      <c r="F4" s="12" t="s">
        <v>143</v>
      </c>
      <c r="G4" s="12" t="s">
        <v>21</v>
      </c>
    </row>
    <row r="5" spans="1:7" x14ac:dyDescent="0.3">
      <c r="A5" s="14" t="s">
        <v>206</v>
      </c>
      <c r="B5" s="53">
        <f>Inputs!B12</f>
        <v>7</v>
      </c>
      <c r="C5" s="53">
        <v>7</v>
      </c>
      <c r="D5" s="53">
        <f t="shared" ref="D5:D11" si="0">B5-C5</f>
        <v>0</v>
      </c>
      <c r="E5" s="53">
        <v>0</v>
      </c>
      <c r="F5" s="22" t="str">
        <f>IF(ABS(D5)&lt;=E5,"OK","Check")</f>
        <v>OK</v>
      </c>
      <c r="G5" s="14" t="s">
        <v>207</v>
      </c>
    </row>
    <row r="6" spans="1:7" x14ac:dyDescent="0.3">
      <c r="A6" s="14" t="s">
        <v>208</v>
      </c>
      <c r="B6" s="53">
        <f>WACC!C23-Inputs!B13</f>
        <v>0.12259999999999999</v>
      </c>
      <c r="C6" s="53">
        <v>0</v>
      </c>
      <c r="D6" s="53">
        <f t="shared" si="0"/>
        <v>0.12259999999999999</v>
      </c>
      <c r="E6" s="53">
        <v>0</v>
      </c>
      <c r="F6" s="22" t="str">
        <f>IF(B6&gt;0,"OK","Check")</f>
        <v>OK</v>
      </c>
      <c r="G6" s="14" t="s">
        <v>209</v>
      </c>
    </row>
    <row r="7" spans="1:7" x14ac:dyDescent="0.3">
      <c r="A7" s="14" t="s">
        <v>210</v>
      </c>
      <c r="B7" s="53">
        <f>DCF!E31</f>
        <v>1196.6730968008023</v>
      </c>
      <c r="C7" s="53">
        <f>SUM(DCF!E27:K27)</f>
        <v>1196.6730968008023</v>
      </c>
      <c r="D7" s="53">
        <f t="shared" si="0"/>
        <v>0</v>
      </c>
      <c r="E7" s="53">
        <v>0.01</v>
      </c>
      <c r="F7" s="22" t="str">
        <f>IF(ABS(D7)&lt;=E7,"OK","Check")</f>
        <v>OK</v>
      </c>
      <c r="G7" s="14" t="s">
        <v>211</v>
      </c>
    </row>
    <row r="8" spans="1:7" x14ac:dyDescent="0.3">
      <c r="A8" s="14" t="s">
        <v>212</v>
      </c>
      <c r="B8" s="53">
        <f>DCF!E33</f>
        <v>2404.7248032170237</v>
      </c>
      <c r="C8" s="53">
        <f>DCF!E31+DCF!E32</f>
        <v>2404.7248032170237</v>
      </c>
      <c r="D8" s="53">
        <f t="shared" si="0"/>
        <v>0</v>
      </c>
      <c r="E8" s="53">
        <v>0.01</v>
      </c>
      <c r="F8" s="22" t="str">
        <f>IF(ABS(D8)&lt;=E8,"OK","Check")</f>
        <v>OK</v>
      </c>
      <c r="G8" s="14" t="s">
        <v>213</v>
      </c>
    </row>
    <row r="9" spans="1:7" x14ac:dyDescent="0.3">
      <c r="A9" s="14" t="s">
        <v>214</v>
      </c>
      <c r="B9" s="53">
        <f>DCF!E37</f>
        <v>2599.0029032170237</v>
      </c>
      <c r="C9" s="53">
        <f>SUM(DCF!E33:E36)</f>
        <v>2599.0029032170237</v>
      </c>
      <c r="D9" s="53">
        <f t="shared" si="0"/>
        <v>0</v>
      </c>
      <c r="E9" s="53">
        <v>0.01</v>
      </c>
      <c r="F9" s="22" t="str">
        <f>IF(ABS(D9)&lt;=E9,"OK","Check")</f>
        <v>OK</v>
      </c>
      <c r="G9" s="14" t="s">
        <v>215</v>
      </c>
    </row>
    <row r="10" spans="1:7" x14ac:dyDescent="0.3">
      <c r="A10" s="14" t="s">
        <v>216</v>
      </c>
      <c r="B10" s="53">
        <f>Conclusion!E12</f>
        <v>2599.0029032170237</v>
      </c>
      <c r="C10" s="53">
        <f>DCF!E37</f>
        <v>2599.0029032170237</v>
      </c>
      <c r="D10" s="53">
        <f t="shared" si="0"/>
        <v>0</v>
      </c>
      <c r="E10" s="53">
        <v>0.01</v>
      </c>
      <c r="F10" s="22" t="str">
        <f>IF(ABS(D10)&lt;=E10,"OK","Check")</f>
        <v>OK</v>
      </c>
      <c r="G10" s="14" t="s">
        <v>217</v>
      </c>
    </row>
    <row r="11" spans="1:7" x14ac:dyDescent="0.3">
      <c r="A11" s="14" t="s">
        <v>218</v>
      </c>
      <c r="B11" s="53">
        <f>COUNTIF(F5:F10,"OK")</f>
        <v>6</v>
      </c>
      <c r="C11" s="53">
        <v>6</v>
      </c>
      <c r="D11" s="53">
        <f t="shared" si="0"/>
        <v>0</v>
      </c>
      <c r="E11" s="53">
        <v>0</v>
      </c>
      <c r="F11" s="22" t="str">
        <f>IF(B11=C11,"OK","Check")</f>
        <v>OK</v>
      </c>
      <c r="G11" s="14" t="s">
        <v>219</v>
      </c>
    </row>
  </sheetData>
  <mergeCells count="1">
    <mergeCell ref="A1:G1"/>
  </mergeCells>
  <conditionalFormatting sqref="F5:F11">
    <cfRule type="cellIs" dxfId="1" priority="1" stopIfTrue="1" operator="equal">
      <formula>"OK"</formula>
    </cfRule>
    <cfRule type="cellIs" dxfId="0" priority="2" stopIfTrue="1" operator="notEqual">
      <formula>"OK"</formula>
    </cfRule>
  </conditionalFormatting>
  <printOptions horizontalCentered="1"/>
  <pageMargins left="0.5" right="0.5" top="0.5" bottom="0.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Prepared By</vt:lpstr>
      <vt:lpstr>Inputs</vt:lpstr>
      <vt:lpstr>TOC</vt:lpstr>
      <vt:lpstr>Conclusion</vt:lpstr>
      <vt:lpstr>DCF</vt:lpstr>
      <vt:lpstr>WACC</vt:lpstr>
      <vt:lpstr>PL&amp;BS</vt:lpstr>
      <vt:lpstr>WC Movement</vt:lpstr>
      <vt:lpstr>Sources</vt:lpstr>
      <vt:lpstr>Checks</vt:lpstr>
      <vt:lpstr>DCF!Print_Area</vt:lpstr>
      <vt:lpstr>'PL&amp;BS'!Print_Area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PADARBIND PRADHAN</dc:creator>
  <cp:lastModifiedBy>PADARBIND PRADHAN</cp:lastModifiedBy>
  <dcterms:created xsi:type="dcterms:W3CDTF">2026-07-04T06:50:21Z</dcterms:created>
  <dcterms:modified xsi:type="dcterms:W3CDTF">2026-07-06T15:37:48Z</dcterms:modified>
</cp:coreProperties>
</file>